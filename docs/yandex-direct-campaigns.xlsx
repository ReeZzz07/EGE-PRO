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итай меня" sheetId="1" state="visible" r:id="rId1"/>
    <sheet xmlns:r="http://schemas.openxmlformats.org/officeDocument/2006/relationships" name="Настройки" sheetId="2" state="visible" r:id="rId2"/>
    <sheet xmlns:r="http://schemas.openxmlformats.org/officeDocument/2006/relationships" name="Кампании" sheetId="3" state="visible" r:id="rId3"/>
    <sheet xmlns:r="http://schemas.openxmlformats.org/officeDocument/2006/relationships" name="Группы и фразы" sheetId="4" state="visible" r:id="rId4"/>
    <sheet xmlns:r="http://schemas.openxmlformats.org/officeDocument/2006/relationships" name="Объявления" sheetId="5" state="visible" r:id="rId5"/>
    <sheet xmlns:r="http://schemas.openxmlformats.org/officeDocument/2006/relationships" name="Минус-слова" sheetId="6" state="visible" r:id="rId6"/>
    <sheet xmlns:r="http://schemas.openxmlformats.org/officeDocument/2006/relationships" name="Быстрые ссылки" sheetId="7" state="visible" r:id="rId7"/>
    <sheet xmlns:r="http://schemas.openxmlformats.org/officeDocument/2006/relationships" name="Уточнения" sheetId="8" state="visible" r:id="rId8"/>
    <sheet xmlns:r="http://schemas.openxmlformats.org/officeDocument/2006/relationships" name="Мастер кампаний" sheetId="9" state="visible" r:id="rId9"/>
    <sheet xmlns:r="http://schemas.openxmlformats.org/officeDocument/2006/relationships" name="Ретаргетинг и LAL" sheetId="10" state="visible" r:id="rId10"/>
    <sheet xmlns:r="http://schemas.openxmlformats.org/officeDocument/2006/relationships" name="Цели и метки" sheetId="11" state="visible" r:id="rId11"/>
    <sheet xmlns:r="http://schemas.openxmlformats.org/officeDocument/2006/relationships" name="Чек-лист" sheetId="12" state="visible" r:id="rId12"/>
  </sheets>
  <definedNames>
    <definedName name="_xlnm._FilterDatabase" localSheetId="3" hidden="1">'Группы и фразы'!$A$4:$H$218</definedName>
    <definedName name="_xlnm._FilterDatabase" localSheetId="4" hidden="1">'Объявления'!$A$4:$O$54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2447E9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00D7DBE7"/>
      </left>
      <right style="thin">
        <color rgb="00D7DBE7"/>
      </right>
      <top style="thin">
        <color rgb="00D7DBE7"/>
      </top>
      <bottom style="thin">
        <color rgb="00D7DBE7"/>
      </bottom>
    </border>
    <border>
      <left/>
      <right/>
      <top style="thin">
        <color rgb="00D7DBE7"/>
      </top>
      <bottom/>
      <diagonal/>
    </border>
    <border>
      <left/>
      <right style="thin">
        <color rgb="00D7DBE7"/>
      </right>
      <top style="thin">
        <color rgb="00D7DBE7"/>
      </top>
      <bottom/>
      <diagonal/>
    </border>
    <border>
      <left/>
      <right style="thin">
        <color rgb="00D7DBE7"/>
      </right>
      <top style="thin">
        <color rgb="00D7DBE7"/>
      </top>
      <bottom style="thin">
        <color rgb="00D7DBE7"/>
      </bottom>
      <diagonal/>
    </border>
    <border>
      <left/>
      <right/>
      <top style="thin">
        <color rgb="00D7DBE7"/>
      </top>
      <bottom style="thin">
        <color rgb="00D7DBE7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5" fillId="2" borderId="1" applyAlignment="1" pivotButton="0" quotePrefix="0" xfId="0">
      <alignment horizontal="center" vertical="top" wrapText="1"/>
    </xf>
    <xf numFmtId="164" fontId="6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left" vertical="top"/>
    </xf>
    <xf numFmtId="1" fontId="6" fillId="3" borderId="1" applyAlignment="1" pivotButton="0" quotePrefix="0" xfId="0">
      <alignment horizontal="left" vertical="top"/>
    </xf>
    <xf numFmtId="49" fontId="4" fillId="0" borderId="1" applyAlignment="1" pivotButton="0" quotePrefix="0" xfId="0">
      <alignment horizontal="left" vertical="top"/>
    </xf>
    <xf numFmtId="1" fontId="4" fillId="0" borderId="1" applyAlignment="1" pivotButton="0" quotePrefix="0" xfId="0">
      <alignment horizontal="left" vertical="top"/>
    </xf>
    <xf numFmtId="49" fontId="6" fillId="3" borderId="1" applyAlignment="1" pivotButton="0" quotePrefix="0" xfId="0">
      <alignment horizontal="left" vertical="top"/>
    </xf>
    <xf numFmtId="164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9" fontId="6" fillId="3" borderId="1" applyAlignment="1" pivotButton="0" quotePrefix="0" xfId="0">
      <alignment horizontal="center" vertical="top" wrapText="1"/>
    </xf>
    <xf numFmtId="164" fontId="4" fillId="0" borderId="1" applyAlignment="1" pivotButton="0" quotePrefix="0" xfId="0">
      <alignment horizontal="center" vertical="top" wrapText="1"/>
    </xf>
    <xf numFmtId="9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3" fontId="4" fillId="0" borderId="1" applyAlignment="1" pivotButton="0" quotePrefix="0" xfId="0">
      <alignment horizontal="center" vertical="top" wrapText="1"/>
    </xf>
    <xf numFmtId="0" fontId="0" fillId="0" borderId="5" pivotButton="0" quotePrefix="0" xfId="0"/>
    <xf numFmtId="0" fontId="6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2">
    <dxf>
      <fill>
        <patternFill patternType="solid">
          <bgColor rgb="00F8CBAD"/>
        </patternFill>
      </fill>
    </dxf>
    <dxf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62" customWidth="1" min="3" max="3"/>
  </cols>
  <sheetData>
    <row r="1">
      <c r="A1" s="1" t="inlineStr">
        <is>
          <t>ЕГЭ·ПРО — материалы для Яндекс Директа</t>
        </is>
      </c>
    </row>
    <row r="2">
      <c r="A2" s="2" t="inlineStr">
        <is>
          <t>Подготовлено 19.09.2026 по инструкции «Продвижение ЕГЭ·ПРО в Яндексе». Кабинет не открывался, ничего не запускалось.</t>
        </is>
      </c>
    </row>
    <row r="4">
      <c r="A4" s="3" t="inlineStr">
        <is>
          <t>Сводка проверок (считается формулами)</t>
        </is>
      </c>
    </row>
    <row r="5">
      <c r="A5" s="4" t="inlineStr">
        <is>
          <t>Кампаний</t>
        </is>
      </c>
      <c r="B5" s="5">
        <f>COUNTA(Кампании!A5:A11)</f>
        <v/>
      </c>
    </row>
    <row r="6">
      <c r="A6" s="4" t="inlineStr">
        <is>
          <t>Ключевых фраз</t>
        </is>
      </c>
      <c r="B6" s="5">
        <f>COUNTA('Группы и фразы'!C5:C1000)</f>
        <v/>
      </c>
    </row>
    <row r="7">
      <c r="A7" s="4" t="inlineStr">
        <is>
          <t>Фраз с ошибкой (больше 7 слов)</t>
        </is>
      </c>
      <c r="B7" s="5">
        <f>COUNTIF('Группы и фразы'!G5:G1000,"ошибка")</f>
        <v/>
      </c>
    </row>
    <row r="8">
      <c r="A8" s="4" t="inlineStr">
        <is>
          <t>Объявлений</t>
        </is>
      </c>
      <c r="B8" s="5">
        <f>COUNTA(Объявления!D5:D300)</f>
        <v/>
      </c>
    </row>
    <row r="9">
      <c r="A9" s="4" t="inlineStr">
        <is>
          <t>Объявлений, которые нужно проверить по лимитам</t>
        </is>
      </c>
      <c r="B9" s="5">
        <f>COUNTIF(Объявления!O5:O300,"проверить")</f>
        <v/>
      </c>
    </row>
    <row r="10">
      <c r="A10" s="4" t="inlineStr">
        <is>
          <t>Доли бюджета волны 1 = 100%</t>
        </is>
      </c>
      <c r="B10" s="5">
        <f>IF(ABS(Кампании!G13-1)&lt;0.0001,"OK","не 100%")</f>
        <v/>
      </c>
    </row>
    <row r="11">
      <c r="A11" s="4" t="inlineStr">
        <is>
          <t>Доли бюджета волны 2 = 100%</t>
        </is>
      </c>
      <c r="B11" s="5">
        <f>IF(ABS(Кампании!G14-1)&lt;0.0001,"OK","не 100%")</f>
        <v/>
      </c>
    </row>
    <row r="12">
      <c r="A12" s="4" t="inlineStr">
        <is>
          <t>Кампании ниже минимального дневного бюджета</t>
        </is>
      </c>
      <c r="B12" s="5">
        <f>COUNTIF(Кампании!J5:J11,"ниже минимума")</f>
        <v/>
      </c>
    </row>
    <row r="13">
      <c r="A13" s="4" t="inlineStr">
        <is>
          <t>Минус-слова «Все кампании», знаков без пробелов (лимит 20 000)</t>
        </is>
      </c>
      <c r="B13" s="5">
        <f>'Минус-слова'!F5</f>
        <v/>
      </c>
    </row>
    <row r="15">
      <c r="A15" s="3" t="inlineStr">
        <is>
          <t>Что в книге</t>
        </is>
      </c>
    </row>
    <row r="16">
      <c r="A16" s="6" t="inlineStr">
        <is>
          <t>Настройки</t>
        </is>
      </c>
      <c r="B16" s="4" t="inlineStr">
        <is>
          <t>Ваши вводные: бюджет, регион, цены. Жёлтые ячейки с синим шрифтом — заменить своими.</t>
        </is>
      </c>
      <c r="C16" s="7" t="n"/>
    </row>
    <row r="17">
      <c r="A17" s="6" t="inlineStr">
        <is>
          <t>Кампании</t>
        </is>
      </c>
      <c r="B17" s="4" t="inlineStr">
        <is>
          <t>7 кампаний в двух волнах, бюджеты считаются от «Настроек».</t>
        </is>
      </c>
      <c r="C17" s="7" t="n"/>
    </row>
    <row r="18">
      <c r="A18" s="6" t="inlineStr">
        <is>
          <t>Группы и фразы</t>
        </is>
      </c>
      <c r="B18" s="4" t="inlineStr">
        <is>
          <t>Ключевые фразы по группам, с проверкой числа слов (не больше 7).</t>
        </is>
      </c>
      <c r="C18" s="7" t="n"/>
    </row>
    <row r="19">
      <c r="A19" s="6" t="inlineStr">
        <is>
          <t>Объявления</t>
        </is>
      </c>
      <c r="B19" s="4" t="inlineStr">
        <is>
          <t>Тексты для поиска: 2 варианта на группу (A/B), с проверкой лимитов Директа.</t>
        </is>
      </c>
      <c r="C19" s="7" t="n"/>
    </row>
    <row r="20">
      <c r="A20" s="6" t="inlineStr">
        <is>
          <t>Минус-слова</t>
        </is>
      </c>
      <c r="B20" s="4" t="inlineStr">
        <is>
          <t>Общие и по кампаниям (перекрёстные — чтобы свои кампании не конкурировали).</t>
        </is>
      </c>
      <c r="C20" s="7" t="n"/>
    </row>
    <row r="21">
      <c r="A21" s="6" t="inlineStr">
        <is>
          <t>Быстрые ссылки / Уточнения</t>
        </is>
      </c>
      <c r="B21" s="4" t="inlineStr">
        <is>
          <t>Расширения объявлений, с проверкой длины.</t>
        </is>
      </c>
      <c r="C21" s="7" t="n"/>
    </row>
    <row r="22">
      <c r="A22" s="6" t="inlineStr">
        <is>
          <t>Мастер кампаний</t>
        </is>
      </c>
      <c r="B22" s="4" t="inlineStr">
        <is>
          <t>Заголовки, тексты, изображения и образец фраз для Мастера.</t>
        </is>
      </c>
      <c r="C22" s="7" t="n"/>
    </row>
    <row r="23">
      <c r="A23" s="6" t="inlineStr">
        <is>
          <t>Ретаргетинг и LAL</t>
        </is>
      </c>
      <c r="B23" s="4" t="inlineStr">
        <is>
          <t>Сегменты и тексты для второй волны.</t>
        </is>
      </c>
      <c r="C23" s="7" t="n"/>
    </row>
    <row r="24">
      <c r="A24" s="6" t="inlineStr">
        <is>
          <t>Цели и метки</t>
        </is>
      </c>
      <c r="B24" s="4" t="inlineStr">
        <is>
          <t>Цели Метрики, метки в ссылках.</t>
        </is>
      </c>
      <c r="C24" s="7" t="n"/>
    </row>
    <row r="25">
      <c r="A25" s="6" t="inlineStr">
        <is>
          <t>Чек-лист</t>
        </is>
      </c>
      <c r="B25" s="4" t="inlineStr">
        <is>
          <t>Что делаю я, что вы, в каком порядке.</t>
        </is>
      </c>
      <c r="C25" s="7" t="n"/>
    </row>
    <row r="27">
      <c r="A27" s="3" t="inlineStr">
        <is>
          <t>Как я изменил подход относительно артефакта (и почему)</t>
        </is>
      </c>
    </row>
    <row r="28" ht="48" customHeight="1">
      <c r="A28" s="6" t="inlineStr">
        <is>
          <t>Не «официальный банк ФИПИ»</t>
        </is>
      </c>
      <c r="B28" s="4" t="inlineStr">
        <is>
          <t>В подвале сайта сказано, что проект не является официальным ресурсом ФИПИ. В рекламе — «задания формата ФИПИ» (формулировка сайта). В артефакте было «официальный» — это надо исправить.</t>
        </is>
      </c>
      <c r="C28" s="7" t="n"/>
    </row>
    <row r="29" ht="48" customHeight="1">
      <c r="A29" s="6" t="inlineStr">
        <is>
          <t>Нет сравнений с репетиторами</t>
        </is>
      </c>
      <c r="B29" s="4" t="inlineStr">
        <is>
          <t>«Дешевле часа с репетитором» — недоказуемое сравнение, Директ и закон о рекламе такое не любят. В текстах только факты о нашей цене и оплате за месяц.</t>
        </is>
      </c>
      <c r="C29" s="7" t="n"/>
    </row>
    <row r="30" ht="48" customHeight="1">
      <c r="A30" s="6" t="inlineStr">
        <is>
          <t>«Безлимит» — на 2, 4 или 5 предметов</t>
        </is>
      </c>
      <c r="B30" s="4" t="inlineStr">
        <is>
          <t>В артефакте было «по всем предметам от 1990 ₽». По данным прода АТТЕСТАТ (1 990 ₽) — 2 предмета на выбор, ВУЗ (3 990 ₽) — 4, ВУЗ+ (4 990 ₽) — 5. Тексты уточнены.</t>
        </is>
      </c>
      <c r="C30" s="7" t="n"/>
    </row>
    <row r="31" ht="48" customHeight="1">
      <c r="A31" s="6" t="inlineStr">
        <is>
          <t>Информатика не рекламируется</t>
        </is>
      </c>
      <c r="B31" s="4" t="inlineStr">
        <is>
          <t>В описании сайта она упомянута, но заданий по информатике на проде нет. Слово вынесено в минус-слова. Описание сайта стоит поправить.</t>
        </is>
      </c>
      <c r="C31" s="7" t="n"/>
    </row>
    <row r="32" ht="48" customHeight="1">
      <c r="A32" s="6" t="inlineStr">
        <is>
          <t>Сочинение по русскому не рекламируется</t>
        </is>
      </c>
      <c r="B32" s="4" t="inlineStr">
        <is>
          <t>Проверка по критериям есть у биологии (2 605 заданий), обществознания (1 847), истории (1 105), литературы (862), географии, математики, физики, химии. У русского языка — 1 задание. Самый частый запрос ниши («проверка сочинения ЕГЭ по русскому») платформа не закрывает — это разрыв продукта, а не рекламы.</t>
        </is>
      </c>
      <c r="C32" s="7" t="n"/>
    </row>
    <row r="33" ht="48" customHeight="1">
      <c r="A33" s="6" t="inlineStr">
        <is>
          <t>Математика базового уровня не в рекламе</t>
        </is>
      </c>
      <c r="B33" s="4" t="inlineStr">
        <is>
          <t>Задания есть (1 895), но актуальность базового ЕГЭ в 2027 году я проверить не смог — прежде чем рекламировать, уточните.</t>
        </is>
      </c>
      <c r="C33" s="7" t="n"/>
    </row>
    <row r="34" ht="48" customHeight="1">
      <c r="A34" s="6" t="inlineStr">
        <is>
          <t>«Отзывы» не в фразах и текстах</t>
        </is>
      </c>
      <c r="B34" s="4" t="inlineStr">
        <is>
          <t>Отзывов на сайте нет; обещать их в рекламе нельзя.</t>
        </is>
      </c>
      <c r="C34" s="7" t="n"/>
    </row>
    <row r="35" ht="48" customHeight="1">
      <c r="A35" s="6" t="inlineStr">
        <is>
          <t>Все объявления ведут на «/» или «/tariffs»</t>
        </is>
      </c>
      <c r="B35" s="4" t="inlineStr">
        <is>
          <t>У приложения нет прямых ссылок на предметы и экраны (навигация без адресов). Предметные объявления ведут на главную. Для роста релевантности стоит сделать адреса вида /?subject=math — это задача для разработки.</t>
        </is>
      </c>
      <c r="C35" s="7" t="n"/>
    </row>
    <row r="37">
      <c r="A37" s="3" t="inlineStr">
        <is>
          <t>Чего я не знаю (честно)</t>
        </is>
      </c>
    </row>
    <row r="38" ht="44" customHeight="1">
      <c r="A38" s="6" t="inlineStr">
        <is>
          <t>Частотности и цены кликов</t>
        </is>
      </c>
      <c r="B38" s="4" t="inlineStr">
        <is>
          <t>Доступа к Wordstat и «Прогнозу бюджета» у меня нет. Фразы составлены по типичным формулировкам, а не по данным. Перед запуском прогоните их через «Прогноз бюджета» и уберите пустые.</t>
        </is>
      </c>
      <c r="C38" s="7" t="n"/>
    </row>
    <row r="39" ht="44" customHeight="1">
      <c r="A39" s="6" t="inlineStr">
        <is>
          <t>Точные названия элементов интерфейса</t>
        </is>
      </c>
      <c r="B39" s="4" t="inlineStr">
        <is>
          <t>Директ меняет интерфейс. Названия категорий автотаргетинга и т. п. я указал по памяти, при заполнении кабинета сверю с экраном.</t>
        </is>
      </c>
      <c r="C39" s="7" t="n"/>
    </row>
    <row r="40" ht="44" customHeight="1">
      <c r="A40" s="6" t="inlineStr">
        <is>
          <t>Ставки</t>
        </is>
      </c>
      <c r="B40" s="4" t="inlineStr">
        <is>
          <t>Максимальные ставки не выставлены: без прогноза любое число было бы выдумкой.</t>
        </is>
      </c>
      <c r="C40" s="7" t="n"/>
    </row>
    <row r="41" ht="44" customHeight="1">
      <c r="A41" s="6" t="inlineStr">
        <is>
          <t>Допущения о деньгах</t>
        </is>
      </c>
      <c r="B41" s="4" t="inlineStr">
        <is>
          <t>Бюджеты в «Настройках» — мои допущения (верх диапазона из инструкции), замените своими.</t>
        </is>
      </c>
      <c r="C41" s="7" t="n"/>
    </row>
  </sheetData>
  <mergeCells count="22">
    <mergeCell ref="B16:C16"/>
    <mergeCell ref="B25:C25"/>
    <mergeCell ref="B22:C22"/>
    <mergeCell ref="B31:C31"/>
    <mergeCell ref="B18:C18"/>
    <mergeCell ref="B39:C39"/>
    <mergeCell ref="B21:C21"/>
    <mergeCell ref="B23:C23"/>
    <mergeCell ref="B17:C17"/>
    <mergeCell ref="B38:C38"/>
    <mergeCell ref="B29:C29"/>
    <mergeCell ref="B19:C19"/>
    <mergeCell ref="B34:C34"/>
    <mergeCell ref="B28:C28"/>
    <mergeCell ref="B40:C40"/>
    <mergeCell ref="B24:C24"/>
    <mergeCell ref="B30:C30"/>
    <mergeCell ref="B33:C33"/>
    <mergeCell ref="B20:C20"/>
    <mergeCell ref="B32:C32"/>
    <mergeCell ref="B41:C41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80" customWidth="1" min="3" max="3"/>
  </cols>
  <sheetData>
    <row r="1">
      <c r="A1" s="1" t="inlineStr">
        <is>
          <t>Настройки</t>
        </is>
      </c>
    </row>
    <row r="2">
      <c r="A2" s="2" t="inlineStr">
        <is>
          <t>Жёлтые ячейки с синим шрифтом — ваши вводные. Всё остальное считается от них.</t>
        </is>
      </c>
    </row>
    <row r="3" ht="32" customHeight="1">
      <c r="A3" s="8" t="inlineStr">
        <is>
          <t>Параметр</t>
        </is>
      </c>
      <c r="B3" s="8" t="inlineStr">
        <is>
          <t>Значение</t>
        </is>
      </c>
      <c r="C3" s="8" t="inlineStr">
        <is>
          <t>Источник / примечание</t>
        </is>
      </c>
    </row>
    <row r="4">
      <c r="A4" s="4" t="inlineStr">
        <is>
          <t>Дневной бюджет волны 1, ₽</t>
        </is>
      </c>
      <c r="B4" s="9" t="n">
        <v>2000</v>
      </c>
      <c r="C4" s="10" t="inlineStr">
        <is>
          <t>Допущение: 14 дней × 2 000 ₽ = 28 000 ₽ — верх диапазона 15–30 тыс. ₽ из инструкции (раздел 7.2). Замените своим.</t>
        </is>
      </c>
    </row>
    <row r="5">
      <c r="A5" s="4" t="inlineStr">
        <is>
          <t>Дневной бюджет волны 2, ₽</t>
        </is>
      </c>
      <c r="B5" s="9" t="n">
        <v>2000</v>
      </c>
      <c r="C5" s="10" t="inlineStr">
        <is>
          <t>Допущение. Волна 2 включается через 1–2 недели, когда в Метрике есть данные.</t>
        </is>
      </c>
    </row>
    <row r="6">
      <c r="A6" s="4" t="inlineStr">
        <is>
          <t>Минимальный дневной бюджет кампании, ₽</t>
        </is>
      </c>
      <c r="B6" s="11" t="n">
        <v>300</v>
      </c>
      <c r="C6" s="10" t="inlineStr">
        <is>
          <t>Источник: справка Директа «Минимальный бюджет» (yandex.ru/support/direct/ru/strategies/minimal-budget). Для обучения алгоритмов нужно больше — от 1 500 ₽/день на кампанию по инструкции.</t>
        </is>
      </c>
    </row>
    <row r="7">
      <c r="A7" s="4" t="inlineStr">
        <is>
          <t>Дней теста волны 1</t>
        </is>
      </c>
      <c r="B7" s="12" t="n">
        <v>14</v>
      </c>
      <c r="C7" s="10" t="inlineStr">
        <is>
          <t>Допущение (две недели — по инструкции).</t>
        </is>
      </c>
    </row>
    <row r="8">
      <c r="A8" s="4" t="inlineStr">
        <is>
          <t>Сайт</t>
        </is>
      </c>
      <c r="B8" s="13" t="inlineStr">
        <is>
          <t>https://ege-tutor.ru</t>
        </is>
      </c>
      <c r="C8" s="10" t="inlineStr">
        <is>
          <t>Прод-домен.</t>
        </is>
      </c>
    </row>
    <row r="9">
      <c r="A9" s="4" t="inlineStr">
        <is>
          <t>Номер счётчика Метрики</t>
        </is>
      </c>
      <c r="B9" s="14" t="n">
        <v>112809756</v>
      </c>
      <c r="C9" s="10" t="inlineStr">
        <is>
          <t>Источник: вы (код счётчика в чате).</t>
        </is>
      </c>
    </row>
    <row r="10">
      <c r="A10" s="4" t="inlineStr">
        <is>
          <t>Регион показа</t>
        </is>
      </c>
      <c r="B10" s="15" t="inlineStr">
        <is>
          <t>Россия</t>
        </is>
      </c>
      <c r="C10" s="10" t="inlineStr">
        <is>
          <t>Допущение: вся Россия. Если нужны отдельные города — заменить (ответа на вопрос о регионе не было).</t>
        </is>
      </c>
    </row>
    <row r="11">
      <c r="A11" s="4" t="inlineStr">
        <is>
          <t>Тариф «АТТЕСТАТ», ₽/мес</t>
        </is>
      </c>
      <c r="B11" s="11" t="n">
        <v>1990</v>
      </c>
      <c r="C11" s="10" t="inlineStr">
        <is>
          <t>Источник: таблица public.tariffs на проде, 19.09.2026: 2 предмета, безлимитный ИИ. Цена зашита в тексты объявлений — при изменении править тексты.</t>
        </is>
      </c>
    </row>
    <row r="12">
      <c r="A12" s="4" t="inlineStr">
        <is>
          <t>Тариф «ВУЗ», ₽/мес</t>
        </is>
      </c>
      <c r="B12" s="11" t="n">
        <v>3990</v>
      </c>
      <c r="C12" s="10" t="inlineStr">
        <is>
          <t>Там же: 4 предмета.</t>
        </is>
      </c>
    </row>
    <row r="13">
      <c r="A13" s="4" t="inlineStr">
        <is>
          <t>Тариф «ВУЗ+», ₽/мес</t>
        </is>
      </c>
      <c r="B13" s="11" t="n">
        <v>4990</v>
      </c>
      <c r="C13" s="10" t="inlineStr">
        <is>
          <t>Там же: 5 предметов.</t>
        </is>
      </c>
    </row>
    <row r="14">
      <c r="A14" s="4" t="inlineStr">
        <is>
          <t>Бесплатных обращений к ИИ в день</t>
        </is>
      </c>
      <c r="B14" s="14" t="n">
        <v>3</v>
      </c>
      <c r="C14" s="10" t="inlineStr">
        <is>
          <t>Там же (тариф «Попробовать»: 2 предмета, до 3 обращений в день).</t>
        </is>
      </c>
    </row>
    <row r="16">
      <c r="A16" s="6" t="inlineStr">
        <is>
          <t>Бюджет теста волны 1 за период, ₽</t>
        </is>
      </c>
      <c r="B16" s="16">
        <f>B4*B7</f>
        <v/>
      </c>
      <c r="C16" s="10" t="inlineStr">
        <is>
          <t>Дневной бюджет волны 1 × дни теста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8" customWidth="1" min="3" max="3"/>
    <col width="26" customWidth="1" min="4" max="4"/>
    <col width="26" customWidth="1" min="5" max="5"/>
    <col width="30" customWidth="1" min="6" max="6"/>
    <col width="12" customWidth="1" min="7" max="7"/>
    <col width="14" customWidth="1" min="8" max="8"/>
    <col width="14" customWidth="1" min="9" max="9"/>
    <col width="16" customWidth="1" min="10" max="10"/>
    <col width="9" customWidth="1" min="11" max="11"/>
    <col width="12" customWidth="1" min="12" max="12"/>
    <col width="26" customWidth="1" min="13" max="13"/>
    <col width="26" customWidth="1" min="14" max="14"/>
    <col width="60" customWidth="1" min="15" max="15"/>
  </cols>
  <sheetData>
    <row r="1">
      <c r="A1" s="1" t="inlineStr">
        <is>
          <t>Кампании</t>
        </is>
      </c>
    </row>
    <row r="2">
      <c r="A2" s="2" t="inlineStr">
        <is>
          <t>Волна 1 — старт; волна 2 — через 1–2 недели, когда в Метрике есть данные. Доли — ваш ввод (в сумме 100% по каждой волне).</t>
        </is>
      </c>
    </row>
    <row r="4" ht="32" customHeight="1">
      <c r="A4" s="8" t="inlineStr">
        <is>
          <t>ID</t>
        </is>
      </c>
      <c r="B4" s="8" t="inlineStr">
        <is>
          <t>Название</t>
        </is>
      </c>
      <c r="C4" s="8" t="inlineStr">
        <is>
          <t>Волна</t>
        </is>
      </c>
      <c r="D4" s="8" t="inlineStr">
        <is>
          <t>Тип в Директе</t>
        </is>
      </c>
      <c r="E4" s="8" t="inlineStr">
        <is>
          <t>Где показывать</t>
        </is>
      </c>
      <c r="F4" s="8" t="inlineStr">
        <is>
          <t>Стратегия на старте</t>
        </is>
      </c>
      <c r="G4" s="8" t="inlineStr">
        <is>
          <t>Доля бюджета волны</t>
        </is>
      </c>
      <c r="H4" s="8" t="inlineStr">
        <is>
          <t>Дневной бюджет, ₽</t>
        </is>
      </c>
      <c r="I4" s="8" t="inlineStr">
        <is>
          <t>Недельный бюджет, ₽</t>
        </is>
      </c>
      <c r="J4" s="8" t="inlineStr">
        <is>
          <t>Проверка минимума</t>
        </is>
      </c>
      <c r="K4" s="8" t="inlineStr">
        <is>
          <t>Фраз</t>
        </is>
      </c>
      <c r="L4" s="8" t="inlineStr">
        <is>
          <t>Объявлений</t>
        </is>
      </c>
      <c r="M4" s="8" t="inlineStr">
        <is>
          <t>Посадочная</t>
        </is>
      </c>
      <c r="N4" s="8" t="inlineStr">
        <is>
          <t>Цель для обучения</t>
        </is>
      </c>
      <c r="O4" s="8" t="inlineStr">
        <is>
          <t>Комментарий</t>
        </is>
      </c>
    </row>
    <row r="5" ht="62" customHeight="1">
      <c r="A5" s="17" t="inlineStr">
        <is>
          <t>K1</t>
        </is>
      </c>
      <c r="B5" s="4" t="inlineStr">
        <is>
          <t>Мастер кампаний | ИИ-репетитор ЕГЭ</t>
        </is>
      </c>
      <c r="C5" s="18" t="n">
        <v>1</v>
      </c>
      <c r="D5" s="4" t="inlineStr">
        <is>
          <t>Мастер кампаний</t>
        </is>
      </c>
      <c r="E5" s="4" t="inlineStr">
        <is>
          <t>Поиск + РСЯ + внешние площадки (подбирает Яндекс)</t>
        </is>
      </c>
      <c r="F5" s="4" t="inlineStr">
        <is>
          <t>Максимум кликов, недельный бюджет</t>
        </is>
      </c>
      <c r="G5" s="19" t="n">
        <v>0.4</v>
      </c>
      <c r="H5" s="20">
        <f>IF(C5=1,Настройки!$B$4,Настройки!$B$5)*G5</f>
        <v/>
      </c>
      <c r="I5" s="20">
        <f>H5*7</f>
        <v/>
      </c>
      <c r="J5" s="18">
        <f>IF(H5&gt;=Настройки!$B$6,"OK","ниже минимума")</f>
        <v/>
      </c>
      <c r="K5" s="18">
        <f>COUNTIF('Группы и фразы'!$A$5:$A$1000,A5)</f>
        <v/>
      </c>
      <c r="L5" s="18">
        <f>COUNTIF(Объявления!$A$5:$A$300,A5)</f>
        <v/>
      </c>
      <c r="M5" s="4" t="inlineStr">
        <is>
          <t>/</t>
        </is>
      </c>
      <c r="N5" s="4" t="inlineStr">
        <is>
          <t>signup (пока нет данных — клики)</t>
        </is>
      </c>
      <c r="O5" s="10" t="inlineStr">
        <is>
          <t>Изображения — на листе «Мастер кампаний». Ключевые фразы для Мастера — необязательны, образец там же.</t>
        </is>
      </c>
    </row>
    <row r="6" ht="62" customHeight="1">
      <c r="A6" s="17" t="inlineStr">
        <is>
          <t>K2</t>
        </is>
      </c>
      <c r="B6" s="4" t="inlineStr">
        <is>
          <t>Поиск | ИИ-репетитор и тренажёр ЕГЭ</t>
        </is>
      </c>
      <c r="C6" s="18" t="n">
        <v>1</v>
      </c>
      <c r="D6" s="4" t="inlineStr">
        <is>
          <t>Текстово-графические объявления</t>
        </is>
      </c>
      <c r="E6" s="4" t="inlineStr">
        <is>
          <t>Только поиск</t>
        </is>
      </c>
      <c r="F6" s="4" t="inlineStr">
        <is>
          <t>Максимум кликов, недельный бюджет (или ручные ставки)</t>
        </is>
      </c>
      <c r="G6" s="19" t="n">
        <v>0.3</v>
      </c>
      <c r="H6" s="20">
        <f>IF(C6=1,Настройки!$B$4,Настройки!$B$5)*G6</f>
        <v/>
      </c>
      <c r="I6" s="20">
        <f>H6*7</f>
        <v/>
      </c>
      <c r="J6" s="18">
        <f>IF(H6&gt;=Настройки!$B$6,"OK","ниже минимума")</f>
        <v/>
      </c>
      <c r="K6" s="18">
        <f>COUNTIF('Группы и фразы'!$A$5:$A$1000,A6)</f>
        <v/>
      </c>
      <c r="L6" s="18">
        <f>COUNTIF(Объявления!$A$5:$A$300,A6)</f>
        <v/>
      </c>
      <c r="M6" s="4" t="inlineStr">
        <is>
          <t>/</t>
        </is>
      </c>
      <c r="N6" s="4" t="inlineStr">
        <is>
          <t>signup (пока нет данных — клики)</t>
        </is>
      </c>
      <c r="O6" s="10" t="inlineStr">
        <is>
          <t>Автотаргетинг: оставить только «Целевые» и «Узкие» запросы, остальные категории выключить (названия в интерфейсе могут отличаться). Предметные слова — в минус-словах кампании.</t>
        </is>
      </c>
    </row>
    <row r="7" ht="62" customHeight="1">
      <c r="A7" s="17" t="inlineStr">
        <is>
          <t>K3</t>
        </is>
      </c>
      <c r="B7" s="4" t="inlineStr">
        <is>
          <t>Поиск | Предметы ЕГЭ</t>
        </is>
      </c>
      <c r="C7" s="18" t="n">
        <v>1</v>
      </c>
      <c r="D7" s="4" t="inlineStr">
        <is>
          <t>Текстово-графические объявления</t>
        </is>
      </c>
      <c r="E7" s="4" t="inlineStr">
        <is>
          <t>Только поиск</t>
        </is>
      </c>
      <c r="F7" s="4" t="inlineStr">
        <is>
          <t>Максимум кликов, недельный бюджет (или ручные ставки)</t>
        </is>
      </c>
      <c r="G7" s="19" t="n">
        <v>0.3</v>
      </c>
      <c r="H7" s="20">
        <f>IF(C7=1,Настройки!$B$4,Настройки!$B$5)*G7</f>
        <v/>
      </c>
      <c r="I7" s="20">
        <f>H7*7</f>
        <v/>
      </c>
      <c r="J7" s="18">
        <f>IF(H7&gt;=Настройки!$B$6,"OK","ниже минимума")</f>
        <v/>
      </c>
      <c r="K7" s="18">
        <f>COUNTIF('Группы и фразы'!$A$5:$A$1000,A7)</f>
        <v/>
      </c>
      <c r="L7" s="18">
        <f>COUNTIF(Объявления!$A$5:$A$300,A7)</f>
        <v/>
      </c>
      <c r="M7" s="4" t="inlineStr">
        <is>
          <t>/</t>
        </is>
      </c>
      <c r="N7" s="4" t="inlineStr">
        <is>
          <t>signup (пока нет данных — клики)</t>
        </is>
      </c>
      <c r="O7" s="10" t="inlineStr">
        <is>
          <t>10 групп по предметам; на старте включать только группы с волной 1 (столбец E листа «Группы и фразы»).</t>
        </is>
      </c>
    </row>
    <row r="8" ht="62" customHeight="1">
      <c r="A8" s="17" t="inlineStr">
        <is>
          <t>K4</t>
        </is>
      </c>
      <c r="B8" s="4" t="inlineStr">
        <is>
          <t>Поиск | Развёрнутые ответы (часть 2)</t>
        </is>
      </c>
      <c r="C8" s="18" t="n">
        <v>2</v>
      </c>
      <c r="D8" s="4" t="inlineStr">
        <is>
          <t>Текстово-графические объявления</t>
        </is>
      </c>
      <c r="E8" s="4" t="inlineStr">
        <is>
          <t>Только поиск</t>
        </is>
      </c>
      <c r="F8" s="4" t="inlineStr">
        <is>
          <t>Максимум кликов, недельный бюджет</t>
        </is>
      </c>
      <c r="G8" s="19" t="n">
        <v>0.15</v>
      </c>
      <c r="H8" s="20">
        <f>IF(C8=1,Настройки!$B$4,Настройки!$B$5)*G8</f>
        <v/>
      </c>
      <c r="I8" s="20">
        <f>H8*7</f>
        <v/>
      </c>
      <c r="J8" s="18">
        <f>IF(H8&gt;=Настройки!$B$6,"OK","ниже минимума")</f>
        <v/>
      </c>
      <c r="K8" s="18">
        <f>COUNTIF('Группы и фразы'!$A$5:$A$1000,A8)</f>
        <v/>
      </c>
      <c r="L8" s="18">
        <f>COUNTIF(Объявления!$A$5:$A$300,A8)</f>
        <v/>
      </c>
      <c r="M8" s="4" t="inlineStr">
        <is>
          <t>/tariffs</t>
        </is>
      </c>
      <c r="N8" s="4" t="inlineStr">
        <is>
          <t>tariffs_view / checkout_start</t>
        </is>
      </c>
      <c r="O8" s="10" t="inlineStr">
        <is>
          <t>Проверка по критериям — функция платных тарифов, поэтому посадочная — страница тарифов. Русский язык не рекламируем (см. «Читай меня»).</t>
        </is>
      </c>
    </row>
    <row r="9" ht="62" customHeight="1">
      <c r="A9" s="17" t="inlineStr">
        <is>
          <t>K5</t>
        </is>
      </c>
      <c r="B9" s="4" t="inlineStr">
        <is>
          <t>Поиск | Родители</t>
        </is>
      </c>
      <c r="C9" s="18" t="n">
        <v>2</v>
      </c>
      <c r="D9" s="4" t="inlineStr">
        <is>
          <t>Текстово-графические объявления</t>
        </is>
      </c>
      <c r="E9" s="4" t="inlineStr">
        <is>
          <t>Только поиск</t>
        </is>
      </c>
      <c r="F9" s="4" t="inlineStr">
        <is>
          <t>Максимум кликов, недельный бюджет</t>
        </is>
      </c>
      <c r="G9" s="19" t="n">
        <v>0.35</v>
      </c>
      <c r="H9" s="20">
        <f>IF(C9=1,Настройки!$B$4,Настройки!$B$5)*G9</f>
        <v/>
      </c>
      <c r="I9" s="20">
        <f>H9*7</f>
        <v/>
      </c>
      <c r="J9" s="18">
        <f>IF(H9&gt;=Настройки!$B$6,"OK","ниже минимума")</f>
        <v/>
      </c>
      <c r="K9" s="18">
        <f>COUNTIF('Группы и фразы'!$A$5:$A$1000,A9)</f>
        <v/>
      </c>
      <c r="L9" s="18">
        <f>COUNTIF(Объявления!$A$5:$A$300,A9)</f>
        <v/>
      </c>
      <c r="M9" s="4" t="inlineStr">
        <is>
          <t>/tariffs (цены) и / (остальные группы)</t>
        </is>
      </c>
      <c r="N9" s="4" t="inlineStr">
        <is>
          <t>tariffs_view / checkout_start</t>
        </is>
      </c>
      <c r="O9" s="10" t="inlineStr">
        <is>
          <t>Аудитория, которая платит. Отзывов и сравнений с репетиторами в текстах нет намеренно.</t>
        </is>
      </c>
    </row>
    <row r="10" ht="62" customHeight="1">
      <c r="A10" s="17" t="inlineStr">
        <is>
          <t>K6</t>
        </is>
      </c>
      <c r="B10" s="4" t="inlineStr">
        <is>
          <t>Поиск | Информационные (низкие ставки)</t>
        </is>
      </c>
      <c r="C10" s="18" t="n">
        <v>2</v>
      </c>
      <c r="D10" s="4" t="inlineStr">
        <is>
          <t>Текстово-графические объявления</t>
        </is>
      </c>
      <c r="E10" s="4" t="inlineStr">
        <is>
          <t>Только поиск</t>
        </is>
      </c>
      <c r="F10" s="4" t="inlineStr">
        <is>
          <t>Максимум кликов, недельный бюджет, низкая ставка</t>
        </is>
      </c>
      <c r="G10" s="19" t="n">
        <v>0.15</v>
      </c>
      <c r="H10" s="20">
        <f>IF(C10=1,Настройки!$B$4,Настройки!$B$5)*G10</f>
        <v/>
      </c>
      <c r="I10" s="20">
        <f>H10*7</f>
        <v/>
      </c>
      <c r="J10" s="18">
        <f>IF(H10&gt;=Настройки!$B$6,"OK","ниже минимума")</f>
        <v/>
      </c>
      <c r="K10" s="18">
        <f>COUNTIF('Группы и фразы'!$A$5:$A$1000,A10)</f>
        <v/>
      </c>
      <c r="L10" s="18">
        <f>COUNTIF(Объявления!$A$5:$A$300,A10)</f>
        <v/>
      </c>
      <c r="M10" s="4" t="inlineStr">
        <is>
          <t>/</t>
        </is>
      </c>
      <c r="N10" s="4" t="inlineStr">
        <is>
          <t>signup</t>
        </is>
      </c>
      <c r="O10" s="10" t="inlineStr">
        <is>
          <t>Верх воронки. Запускать только после результатов K2–K3; ставки держать ниже, чем в горячих кампаниях.</t>
        </is>
      </c>
    </row>
    <row r="11" ht="62" customHeight="1">
      <c r="A11" s="17" t="inlineStr">
        <is>
          <t>K7</t>
        </is>
      </c>
      <c r="B11" s="4" t="inlineStr">
        <is>
          <t>РСЯ | Ретаргетинг</t>
        </is>
      </c>
      <c r="C11" s="18" t="n">
        <v>2</v>
      </c>
      <c r="D11" s="4" t="inlineStr">
        <is>
          <t>ТГО / ЕПК на сегментах Метрики</t>
        </is>
      </c>
      <c r="E11" s="4" t="inlineStr">
        <is>
          <t>РСЯ (по сегментам Метрики)</t>
        </is>
      </c>
      <c r="F11" s="4" t="inlineStr">
        <is>
          <t>Максимум кликов → оптимизация конверсий</t>
        </is>
      </c>
      <c r="G11" s="19" t="n">
        <v>0.35</v>
      </c>
      <c r="H11" s="20">
        <f>IF(C11=1,Настройки!$B$4,Настройки!$B$5)*G11</f>
        <v/>
      </c>
      <c r="I11" s="20">
        <f>H11*7</f>
        <v/>
      </c>
      <c r="J11" s="18">
        <f>IF(H11&gt;=Настройки!$B$6,"OK","ниже минимума")</f>
        <v/>
      </c>
      <c r="K11" s="18">
        <f>COUNTIF('Группы и фразы'!$A$5:$A$1000,A11)</f>
        <v/>
      </c>
      <c r="L11" s="18">
        <f>COUNTIF(Объявления!$A$5:$A$300,A11)</f>
        <v/>
      </c>
      <c r="M11" s="4" t="inlineStr">
        <is>
          <t>/tariffs</t>
        </is>
      </c>
      <c r="N11" s="4" t="inlineStr">
        <is>
          <t>checkout_start / purchase</t>
        </is>
      </c>
      <c r="O11" s="10" t="inlineStr">
        <is>
          <t>Создавать, когда в Метрике накопится аудитория (минимум 1–2 недели показов). Сегменты — лист «Ретаргетинг и LAL».</t>
        </is>
      </c>
    </row>
    <row r="13">
      <c r="B13" s="6" t="inlineStr">
        <is>
          <t>Сумма долей волны 1</t>
        </is>
      </c>
      <c r="G13" s="21">
        <f>SUMIF(C5:C11,1,G5:G11)</f>
        <v/>
      </c>
    </row>
    <row r="14">
      <c r="B14" s="6" t="inlineStr">
        <is>
          <t>Сумма долей волны 2</t>
        </is>
      </c>
      <c r="G14" s="21">
        <f>SUMIF(C5:C11,2,G5:G11)</f>
        <v/>
      </c>
    </row>
    <row r="15">
      <c r="B15" s="6" t="inlineStr">
        <is>
          <t>Дневной бюджет всех кампаний, ₽</t>
        </is>
      </c>
      <c r="H15" s="22">
        <f>SUM(H5:H11)</f>
        <v/>
      </c>
    </row>
  </sheetData>
  <conditionalFormatting sqref="J5:J11">
    <cfRule type="expression" priority="1" dxfId="0">
      <formula>AND(J5&lt;&gt;"",J5&lt;&gt;"OK")</formula>
    </cfRule>
    <cfRule type="expression" priority="2" dxfId="1">
      <formula>J5="OK"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6" customWidth="1" min="3" max="3"/>
    <col width="16" customWidth="1" min="4" max="4"/>
    <col width="12" customWidth="1" min="5" max="5"/>
    <col width="9" customWidth="1" min="6" max="6"/>
    <col width="12" customWidth="1" min="7" max="7"/>
    <col width="44" customWidth="1" min="8" max="8"/>
  </cols>
  <sheetData>
    <row r="1">
      <c r="A1" s="1" t="inlineStr">
        <is>
          <t>Группы и ключевые фразы</t>
        </is>
      </c>
    </row>
    <row r="2">
      <c r="A2" s="2" t="inlineStr">
        <is>
          <t>Фразы — без операторов. Частотности не проверены (нет доступа к Wordstat). «Волна группы» — когда включать группу внутри кампании.</t>
        </is>
      </c>
    </row>
    <row r="4" ht="32" customHeight="1">
      <c r="A4" s="8" t="inlineStr">
        <is>
          <t>Кампания</t>
        </is>
      </c>
      <c r="B4" s="8" t="inlineStr">
        <is>
          <t>Группа</t>
        </is>
      </c>
      <c r="C4" s="8" t="inlineStr">
        <is>
          <t>Ключевая фраза</t>
        </is>
      </c>
      <c r="D4" s="8" t="inlineStr">
        <is>
          <t>Тип</t>
        </is>
      </c>
      <c r="E4" s="8" t="inlineStr">
        <is>
          <t>Волна группы</t>
        </is>
      </c>
      <c r="F4" s="8" t="inlineStr">
        <is>
          <t>Слов</t>
        </is>
      </c>
      <c r="G4" s="8" t="inlineStr">
        <is>
          <t>Проверка</t>
        </is>
      </c>
      <c r="H4" s="8" t="inlineStr">
        <is>
          <t>Комментарий</t>
        </is>
      </c>
    </row>
    <row r="5">
      <c r="A5" s="18" t="inlineStr">
        <is>
          <t>K2</t>
        </is>
      </c>
      <c r="B5" s="4" t="inlineStr">
        <is>
          <t>ИИ-репетитор</t>
        </is>
      </c>
      <c r="C5" s="4" t="inlineStr">
        <is>
          <t>ии репетитор егэ</t>
        </is>
      </c>
      <c r="D5" s="4" t="inlineStr">
        <is>
          <t>Горячая</t>
        </is>
      </c>
      <c r="E5" s="18" t="n">
        <v>1</v>
      </c>
      <c r="F5" s="18">
        <f>LEN(TRIM(C5))-LEN(SUBSTITUTE(TRIM(C5)," ",""))+1</f>
        <v/>
      </c>
      <c r="G5" s="18">
        <f>IF(AND(F5&lt;=7,LEN(C5)&lt;=4096),"OK","ошибка")</f>
        <v/>
      </c>
      <c r="H5" s="10" t="inlineStr"/>
    </row>
    <row r="6">
      <c r="A6" s="18" t="inlineStr">
        <is>
          <t>K2</t>
        </is>
      </c>
      <c r="B6" s="4" t="inlineStr">
        <is>
          <t>ИИ-репетитор</t>
        </is>
      </c>
      <c r="C6" s="4" t="inlineStr">
        <is>
          <t>ии репетитор для егэ</t>
        </is>
      </c>
      <c r="D6" s="4" t="inlineStr">
        <is>
          <t>Горячая</t>
        </is>
      </c>
      <c r="E6" s="18" t="n">
        <v>1</v>
      </c>
      <c r="F6" s="18">
        <f>LEN(TRIM(C6))-LEN(SUBSTITUTE(TRIM(C6)," ",""))+1</f>
        <v/>
      </c>
      <c r="G6" s="18">
        <f>IF(AND(F6&lt;=7,LEN(C6)&lt;=4096),"OK","ошибка")</f>
        <v/>
      </c>
      <c r="H6" s="10" t="inlineStr"/>
    </row>
    <row r="7">
      <c r="A7" s="18" t="inlineStr">
        <is>
          <t>K2</t>
        </is>
      </c>
      <c r="B7" s="4" t="inlineStr">
        <is>
          <t>ИИ-репетитор</t>
        </is>
      </c>
      <c r="C7" s="4" t="inlineStr">
        <is>
          <t>ии репетитор для подготовки к егэ</t>
        </is>
      </c>
      <c r="D7" s="4" t="inlineStr">
        <is>
          <t>Горячая</t>
        </is>
      </c>
      <c r="E7" s="18" t="n">
        <v>1</v>
      </c>
      <c r="F7" s="18">
        <f>LEN(TRIM(C7))-LEN(SUBSTITUTE(TRIM(C7)," ",""))+1</f>
        <v/>
      </c>
      <c r="G7" s="18">
        <f>IF(AND(F7&lt;=7,LEN(C7)&lt;=4096),"OK","ошибка")</f>
        <v/>
      </c>
      <c r="H7" s="10" t="inlineStr"/>
    </row>
    <row r="8">
      <c r="A8" s="18" t="inlineStr">
        <is>
          <t>K2</t>
        </is>
      </c>
      <c r="B8" s="4" t="inlineStr">
        <is>
          <t>ИИ-репетитор</t>
        </is>
      </c>
      <c r="C8" s="4" t="inlineStr">
        <is>
          <t>репетитор с ии егэ</t>
        </is>
      </c>
      <c r="D8" s="4" t="inlineStr">
        <is>
          <t>Горячая</t>
        </is>
      </c>
      <c r="E8" s="18" t="n">
        <v>1</v>
      </c>
      <c r="F8" s="18">
        <f>LEN(TRIM(C8))-LEN(SUBSTITUTE(TRIM(C8)," ",""))+1</f>
        <v/>
      </c>
      <c r="G8" s="18">
        <f>IF(AND(F8&lt;=7,LEN(C8)&lt;=4096),"OK","ошибка")</f>
        <v/>
      </c>
      <c r="H8" s="10" t="inlineStr"/>
    </row>
    <row r="9">
      <c r="A9" s="18" t="inlineStr">
        <is>
          <t>K2</t>
        </is>
      </c>
      <c r="B9" s="4" t="inlineStr">
        <is>
          <t>ИИ-репетитор</t>
        </is>
      </c>
      <c r="C9" s="4" t="inlineStr">
        <is>
          <t>нейросеть репетитор егэ</t>
        </is>
      </c>
      <c r="D9" s="4" t="inlineStr">
        <is>
          <t>Горячая</t>
        </is>
      </c>
      <c r="E9" s="18" t="n">
        <v>1</v>
      </c>
      <c r="F9" s="18">
        <f>LEN(TRIM(C9))-LEN(SUBSTITUTE(TRIM(C9)," ",""))+1</f>
        <v/>
      </c>
      <c r="G9" s="18">
        <f>IF(AND(F9&lt;=7,LEN(C9)&lt;=4096),"OK","ошибка")</f>
        <v/>
      </c>
      <c r="H9" s="10" t="inlineStr"/>
    </row>
    <row r="10">
      <c r="A10" s="18" t="inlineStr">
        <is>
          <t>K2</t>
        </is>
      </c>
      <c r="B10" s="4" t="inlineStr">
        <is>
          <t>ИИ-репетитор</t>
        </is>
      </c>
      <c r="C10" s="4" t="inlineStr">
        <is>
          <t>нейросеть для подготовки к егэ</t>
        </is>
      </c>
      <c r="D10" s="4" t="inlineStr">
        <is>
          <t>Горячая</t>
        </is>
      </c>
      <c r="E10" s="18" t="n">
        <v>1</v>
      </c>
      <c r="F10" s="18">
        <f>LEN(TRIM(C10))-LEN(SUBSTITUTE(TRIM(C10)," ",""))+1</f>
        <v/>
      </c>
      <c r="G10" s="18">
        <f>IF(AND(F10&lt;=7,LEN(C10)&lt;=4096),"OK","ошибка")</f>
        <v/>
      </c>
      <c r="H10" s="10" t="inlineStr"/>
    </row>
    <row r="11">
      <c r="A11" s="18" t="inlineStr">
        <is>
          <t>K2</t>
        </is>
      </c>
      <c r="B11" s="4" t="inlineStr">
        <is>
          <t>ИИ-репетитор</t>
        </is>
      </c>
      <c r="C11" s="4" t="inlineStr">
        <is>
          <t>искусственный интеллект для подготовки к егэ</t>
        </is>
      </c>
      <c r="D11" s="4" t="inlineStr">
        <is>
          <t>Горячая</t>
        </is>
      </c>
      <c r="E11" s="18" t="n">
        <v>1</v>
      </c>
      <c r="F11" s="18">
        <f>LEN(TRIM(C11))-LEN(SUBSTITUTE(TRIM(C11)," ",""))+1</f>
        <v/>
      </c>
      <c r="G11" s="18">
        <f>IF(AND(F11&lt;=7,LEN(C11)&lt;=4096),"OK","ошибка")</f>
        <v/>
      </c>
      <c r="H11" s="10" t="inlineStr"/>
    </row>
    <row r="12">
      <c r="A12" s="18" t="inlineStr">
        <is>
          <t>K2</t>
        </is>
      </c>
      <c r="B12" s="4" t="inlineStr">
        <is>
          <t>ИИ-репетитор</t>
        </is>
      </c>
      <c r="C12" s="4" t="inlineStr">
        <is>
          <t>ии помощник для подготовки к егэ</t>
        </is>
      </c>
      <c r="D12" s="4" t="inlineStr">
        <is>
          <t>Горячая</t>
        </is>
      </c>
      <c r="E12" s="18" t="n">
        <v>1</v>
      </c>
      <c r="F12" s="18">
        <f>LEN(TRIM(C12))-LEN(SUBSTITUTE(TRIM(C12)," ",""))+1</f>
        <v/>
      </c>
      <c r="G12" s="18">
        <f>IF(AND(F12&lt;=7,LEN(C12)&lt;=4096),"OK","ошибка")</f>
        <v/>
      </c>
      <c r="H12" s="10" t="inlineStr"/>
    </row>
    <row r="13">
      <c r="A13" s="18" t="inlineStr">
        <is>
          <t>K2</t>
        </is>
      </c>
      <c r="B13" s="4" t="inlineStr">
        <is>
          <t>ИИ-репетитор</t>
        </is>
      </c>
      <c r="C13" s="4" t="inlineStr">
        <is>
          <t>ии тренер по егэ</t>
        </is>
      </c>
      <c r="D13" s="4" t="inlineStr">
        <is>
          <t>Горячая</t>
        </is>
      </c>
      <c r="E13" s="18" t="n">
        <v>1</v>
      </c>
      <c r="F13" s="18">
        <f>LEN(TRIM(C13))-LEN(SUBSTITUTE(TRIM(C13)," ",""))+1</f>
        <v/>
      </c>
      <c r="G13" s="18">
        <f>IF(AND(F13&lt;=7,LEN(C13)&lt;=4096),"OK","ошибка")</f>
        <v/>
      </c>
      <c r="H13" s="10" t="inlineStr"/>
    </row>
    <row r="14">
      <c r="A14" s="18" t="inlineStr">
        <is>
          <t>K2</t>
        </is>
      </c>
      <c r="B14" s="4" t="inlineStr">
        <is>
          <t>ИИ-репетитор</t>
        </is>
      </c>
      <c r="C14" s="4" t="inlineStr">
        <is>
          <t>онлайн репетитор ии</t>
        </is>
      </c>
      <c r="D14" s="4" t="inlineStr">
        <is>
          <t>Горячая</t>
        </is>
      </c>
      <c r="E14" s="18" t="n">
        <v>1</v>
      </c>
      <c r="F14" s="18">
        <f>LEN(TRIM(C14))-LEN(SUBSTITUTE(TRIM(C14)," ",""))+1</f>
        <v/>
      </c>
      <c r="G14" s="18">
        <f>IF(AND(F14&lt;=7,LEN(C14)&lt;=4096),"OK","ошибка")</f>
        <v/>
      </c>
      <c r="H14" s="10" t="inlineStr"/>
    </row>
    <row r="15">
      <c r="A15" s="18" t="inlineStr">
        <is>
          <t>K2</t>
        </is>
      </c>
      <c r="B15" s="4" t="inlineStr">
        <is>
          <t>ИИ-репетитор</t>
        </is>
      </c>
      <c r="C15" s="4" t="inlineStr">
        <is>
          <t>ai репетитор егэ</t>
        </is>
      </c>
      <c r="D15" s="4" t="inlineStr">
        <is>
          <t>Горячая</t>
        </is>
      </c>
      <c r="E15" s="18" t="n">
        <v>1</v>
      </c>
      <c r="F15" s="18">
        <f>LEN(TRIM(C15))-LEN(SUBSTITUTE(TRIM(C15)," ",""))+1</f>
        <v/>
      </c>
      <c r="G15" s="18">
        <f>IF(AND(F15&lt;=7,LEN(C15)&lt;=4096),"OK","ошибка")</f>
        <v/>
      </c>
      <c r="H15" s="10" t="inlineStr"/>
    </row>
    <row r="16">
      <c r="A16" s="18" t="inlineStr">
        <is>
          <t>K2</t>
        </is>
      </c>
      <c r="B16" s="4" t="inlineStr">
        <is>
          <t>ИИ-репетитор</t>
        </is>
      </c>
      <c r="C16" s="4" t="inlineStr">
        <is>
          <t>репетитор на основе ии</t>
        </is>
      </c>
      <c r="D16" s="4" t="inlineStr">
        <is>
          <t>Горячая</t>
        </is>
      </c>
      <c r="E16" s="18" t="n">
        <v>1</v>
      </c>
      <c r="F16" s="18">
        <f>LEN(TRIM(C16))-LEN(SUBSTITUTE(TRIM(C16)," ",""))+1</f>
        <v/>
      </c>
      <c r="G16" s="18">
        <f>IF(AND(F16&lt;=7,LEN(C16)&lt;=4096),"OK","ошибка")</f>
        <v/>
      </c>
      <c r="H16" s="10" t="inlineStr"/>
    </row>
    <row r="17">
      <c r="A17" s="18" t="inlineStr">
        <is>
          <t>K2</t>
        </is>
      </c>
      <c r="B17" s="4" t="inlineStr">
        <is>
          <t>ИИ-репетитор</t>
        </is>
      </c>
      <c r="C17" s="4" t="inlineStr">
        <is>
          <t>ии наставник егэ</t>
        </is>
      </c>
      <c r="D17" s="4" t="inlineStr">
        <is>
          <t>Горячая</t>
        </is>
      </c>
      <c r="E17" s="18" t="n">
        <v>1</v>
      </c>
      <c r="F17" s="18">
        <f>LEN(TRIM(C17))-LEN(SUBSTITUTE(TRIM(C17)," ",""))+1</f>
        <v/>
      </c>
      <c r="G17" s="18">
        <f>IF(AND(F17&lt;=7,LEN(C17)&lt;=4096),"OK","ошибка")</f>
        <v/>
      </c>
      <c r="H17" s="10" t="inlineStr"/>
    </row>
    <row r="18">
      <c r="A18" s="18" t="inlineStr">
        <is>
          <t>K2</t>
        </is>
      </c>
      <c r="B18" s="4" t="inlineStr">
        <is>
          <t>Тренажёр ЕГЭ</t>
        </is>
      </c>
      <c r="C18" s="4" t="inlineStr">
        <is>
          <t>тренажер егэ онлайн</t>
        </is>
      </c>
      <c r="D18" s="4" t="inlineStr">
        <is>
          <t>Горячая</t>
        </is>
      </c>
      <c r="E18" s="18" t="n">
        <v>1</v>
      </c>
      <c r="F18" s="18">
        <f>LEN(TRIM(C18))-LEN(SUBSTITUTE(TRIM(C18)," ",""))+1</f>
        <v/>
      </c>
      <c r="G18" s="18">
        <f>IF(AND(F18&lt;=7,LEN(C18)&lt;=4096),"OK","ошибка")</f>
        <v/>
      </c>
      <c r="H18" s="10" t="inlineStr"/>
    </row>
    <row r="19">
      <c r="A19" s="18" t="inlineStr">
        <is>
          <t>K2</t>
        </is>
      </c>
      <c r="B19" s="4" t="inlineStr">
        <is>
          <t>Тренажёр ЕГЭ</t>
        </is>
      </c>
      <c r="C19" s="4" t="inlineStr">
        <is>
          <t>онлайн тренажер егэ</t>
        </is>
      </c>
      <c r="D19" s="4" t="inlineStr">
        <is>
          <t>Горячая</t>
        </is>
      </c>
      <c r="E19" s="18" t="n">
        <v>1</v>
      </c>
      <c r="F19" s="18">
        <f>LEN(TRIM(C19))-LEN(SUBSTITUTE(TRIM(C19)," ",""))+1</f>
        <v/>
      </c>
      <c r="G19" s="18">
        <f>IF(AND(F19&lt;=7,LEN(C19)&lt;=4096),"OK","ошибка")</f>
        <v/>
      </c>
      <c r="H19" s="10" t="inlineStr"/>
    </row>
    <row r="20">
      <c r="A20" s="18" t="inlineStr">
        <is>
          <t>K2</t>
        </is>
      </c>
      <c r="B20" s="4" t="inlineStr">
        <is>
          <t>Тренажёр ЕГЭ</t>
        </is>
      </c>
      <c r="C20" s="4" t="inlineStr">
        <is>
          <t>тренажер егэ с ии</t>
        </is>
      </c>
      <c r="D20" s="4" t="inlineStr">
        <is>
          <t>Горячая</t>
        </is>
      </c>
      <c r="E20" s="18" t="n">
        <v>1</v>
      </c>
      <c r="F20" s="18">
        <f>LEN(TRIM(C20))-LEN(SUBSTITUTE(TRIM(C20)," ",""))+1</f>
        <v/>
      </c>
      <c r="G20" s="18">
        <f>IF(AND(F20&lt;=7,LEN(C20)&lt;=4096),"OK","ошибка")</f>
        <v/>
      </c>
      <c r="H20" s="10" t="inlineStr"/>
    </row>
    <row r="21">
      <c r="A21" s="18" t="inlineStr">
        <is>
          <t>K2</t>
        </is>
      </c>
      <c r="B21" s="4" t="inlineStr">
        <is>
          <t>Тренажёр ЕГЭ</t>
        </is>
      </c>
      <c r="C21" s="4" t="inlineStr">
        <is>
          <t>тренажер заданий егэ</t>
        </is>
      </c>
      <c r="D21" s="4" t="inlineStr">
        <is>
          <t>Горячая</t>
        </is>
      </c>
      <c r="E21" s="18" t="n">
        <v>1</v>
      </c>
      <c r="F21" s="18">
        <f>LEN(TRIM(C21))-LEN(SUBSTITUTE(TRIM(C21)," ",""))+1</f>
        <v/>
      </c>
      <c r="G21" s="18">
        <f>IF(AND(F21&lt;=7,LEN(C21)&lt;=4096),"OK","ошибка")</f>
        <v/>
      </c>
      <c r="H21" s="10" t="inlineStr"/>
    </row>
    <row r="22">
      <c r="A22" s="18" t="inlineStr">
        <is>
          <t>K2</t>
        </is>
      </c>
      <c r="B22" s="4" t="inlineStr">
        <is>
          <t>Тренажёр ЕГЭ</t>
        </is>
      </c>
      <c r="C22" s="4" t="inlineStr">
        <is>
          <t>тренажер егэ фипи</t>
        </is>
      </c>
      <c r="D22" s="4" t="inlineStr">
        <is>
          <t>Горячая</t>
        </is>
      </c>
      <c r="E22" s="18" t="n">
        <v>1</v>
      </c>
      <c r="F22" s="18">
        <f>LEN(TRIM(C22))-LEN(SUBSTITUTE(TRIM(C22)," ",""))+1</f>
        <v/>
      </c>
      <c r="G22" s="18">
        <f>IF(AND(F22&lt;=7,LEN(C22)&lt;=4096),"OK","ошибка")</f>
        <v/>
      </c>
      <c r="H22" s="10" t="inlineStr"/>
    </row>
    <row r="23">
      <c r="A23" s="18" t="inlineStr">
        <is>
          <t>K2</t>
        </is>
      </c>
      <c r="B23" s="4" t="inlineStr">
        <is>
          <t>Тренажёр ЕГЭ</t>
        </is>
      </c>
      <c r="C23" s="4" t="inlineStr">
        <is>
          <t>решать задания егэ онлайн</t>
        </is>
      </c>
      <c r="D23" s="4" t="inlineStr">
        <is>
          <t>Горячая</t>
        </is>
      </c>
      <c r="E23" s="18" t="n">
        <v>1</v>
      </c>
      <c r="F23" s="18">
        <f>LEN(TRIM(C23))-LEN(SUBSTITUTE(TRIM(C23)," ",""))+1</f>
        <v/>
      </c>
      <c r="G23" s="18">
        <f>IF(AND(F23&lt;=7,LEN(C23)&lt;=4096),"OK","ошибка")</f>
        <v/>
      </c>
      <c r="H23" s="10" t="inlineStr"/>
    </row>
    <row r="24">
      <c r="A24" s="18" t="inlineStr">
        <is>
          <t>K2</t>
        </is>
      </c>
      <c r="B24" s="4" t="inlineStr">
        <is>
          <t>Тренажёр ЕГЭ</t>
        </is>
      </c>
      <c r="C24" s="4" t="inlineStr">
        <is>
          <t>решать варианты егэ онлайн</t>
        </is>
      </c>
      <c r="D24" s="4" t="inlineStr">
        <is>
          <t>Горячая</t>
        </is>
      </c>
      <c r="E24" s="18" t="n">
        <v>1</v>
      </c>
      <c r="F24" s="18">
        <f>LEN(TRIM(C24))-LEN(SUBSTITUTE(TRIM(C24)," ",""))+1</f>
        <v/>
      </c>
      <c r="G24" s="18">
        <f>IF(AND(F24&lt;=7,LEN(C24)&lt;=4096),"OK","ошибка")</f>
        <v/>
      </c>
      <c r="H24" s="10" t="inlineStr"/>
    </row>
    <row r="25">
      <c r="A25" s="18" t="inlineStr">
        <is>
          <t>K2</t>
        </is>
      </c>
      <c r="B25" s="4" t="inlineStr">
        <is>
          <t>Тренажёр ЕГЭ</t>
        </is>
      </c>
      <c r="C25" s="4" t="inlineStr">
        <is>
          <t>пробные варианты егэ онлайн</t>
        </is>
      </c>
      <c r="D25" s="4" t="inlineStr">
        <is>
          <t>Горячая</t>
        </is>
      </c>
      <c r="E25" s="18" t="n">
        <v>1</v>
      </c>
      <c r="F25" s="18">
        <f>LEN(TRIM(C25))-LEN(SUBSTITUTE(TRIM(C25)," ",""))+1</f>
        <v/>
      </c>
      <c r="G25" s="18">
        <f>IF(AND(F25&lt;=7,LEN(C25)&lt;=4096),"OK","ошибка")</f>
        <v/>
      </c>
      <c r="H25" s="10" t="inlineStr"/>
    </row>
    <row r="26">
      <c r="A26" s="18" t="inlineStr">
        <is>
          <t>K2</t>
        </is>
      </c>
      <c r="B26" s="4" t="inlineStr">
        <is>
          <t>Тренажёр ЕГЭ</t>
        </is>
      </c>
      <c r="C26" s="4" t="inlineStr">
        <is>
          <t>пробник егэ онлайн</t>
        </is>
      </c>
      <c r="D26" s="4" t="inlineStr">
        <is>
          <t>Горячая</t>
        </is>
      </c>
      <c r="E26" s="18" t="n">
        <v>1</v>
      </c>
      <c r="F26" s="18">
        <f>LEN(TRIM(C26))-LEN(SUBSTITUTE(TRIM(C26)," ",""))+1</f>
        <v/>
      </c>
      <c r="G26" s="18">
        <f>IF(AND(F26&lt;=7,LEN(C26)&lt;=4096),"OK","ошибка")</f>
        <v/>
      </c>
      <c r="H26" s="10" t="inlineStr"/>
    </row>
    <row r="27">
      <c r="A27" s="18" t="inlineStr">
        <is>
          <t>K2</t>
        </is>
      </c>
      <c r="B27" s="4" t="inlineStr">
        <is>
          <t>Тренажёр ЕГЭ</t>
        </is>
      </c>
      <c r="C27" s="4" t="inlineStr">
        <is>
          <t>банк заданий егэ онлайн</t>
        </is>
      </c>
      <c r="D27" s="4" t="inlineStr">
        <is>
          <t>Горячая</t>
        </is>
      </c>
      <c r="E27" s="18" t="n">
        <v>1</v>
      </c>
      <c r="F27" s="18">
        <f>LEN(TRIM(C27))-LEN(SUBSTITUTE(TRIM(C27)," ",""))+1</f>
        <v/>
      </c>
      <c r="G27" s="18">
        <f>IF(AND(F27&lt;=7,LEN(C27)&lt;=4096),"OK","ошибка")</f>
        <v/>
      </c>
      <c r="H27" s="10" t="inlineStr"/>
    </row>
    <row r="28">
      <c r="A28" s="18" t="inlineStr">
        <is>
          <t>K2</t>
        </is>
      </c>
      <c r="B28" s="4" t="inlineStr">
        <is>
          <t>Тренажёр ЕГЭ</t>
        </is>
      </c>
      <c r="C28" s="4" t="inlineStr">
        <is>
          <t>задания егэ с разбором</t>
        </is>
      </c>
      <c r="D28" s="4" t="inlineStr">
        <is>
          <t>Горячая</t>
        </is>
      </c>
      <c r="E28" s="18" t="n">
        <v>1</v>
      </c>
      <c r="F28" s="18">
        <f>LEN(TRIM(C28))-LEN(SUBSTITUTE(TRIM(C28)," ",""))+1</f>
        <v/>
      </c>
      <c r="G28" s="18">
        <f>IF(AND(F28&lt;=7,LEN(C28)&lt;=4096),"OK","ошибка")</f>
        <v/>
      </c>
      <c r="H28" s="10" t="inlineStr"/>
    </row>
    <row r="29">
      <c r="A29" s="18" t="inlineStr">
        <is>
          <t>K2</t>
        </is>
      </c>
      <c r="B29" s="4" t="inlineStr">
        <is>
          <t>Тренажёр ЕГЭ</t>
        </is>
      </c>
      <c r="C29" s="4" t="inlineStr">
        <is>
          <t>разбор заданий егэ онлайн</t>
        </is>
      </c>
      <c r="D29" s="4" t="inlineStr">
        <is>
          <t>Горячая</t>
        </is>
      </c>
      <c r="E29" s="18" t="n">
        <v>1</v>
      </c>
      <c r="F29" s="18">
        <f>LEN(TRIM(C29))-LEN(SUBSTITUTE(TRIM(C29)," ",""))+1</f>
        <v/>
      </c>
      <c r="G29" s="18">
        <f>IF(AND(F29&lt;=7,LEN(C29)&lt;=4096),"OK","ошибка")</f>
        <v/>
      </c>
      <c r="H29" s="10" t="inlineStr"/>
    </row>
    <row r="30">
      <c r="A30" s="18" t="inlineStr">
        <is>
          <t>K2</t>
        </is>
      </c>
      <c r="B30" s="4" t="inlineStr">
        <is>
          <t>Платформа подготовки</t>
        </is>
      </c>
      <c r="C30" s="4" t="inlineStr">
        <is>
          <t>платформа для подготовки к егэ</t>
        </is>
      </c>
      <c r="D30" s="4" t="inlineStr">
        <is>
          <t>Горячая</t>
        </is>
      </c>
      <c r="E30" s="18" t="n">
        <v>1</v>
      </c>
      <c r="F30" s="18">
        <f>LEN(TRIM(C30))-LEN(SUBSTITUTE(TRIM(C30)," ",""))+1</f>
        <v/>
      </c>
      <c r="G30" s="18">
        <f>IF(AND(F30&lt;=7,LEN(C30)&lt;=4096),"OK","ошибка")</f>
        <v/>
      </c>
      <c r="H30" s="10" t="inlineStr"/>
    </row>
    <row r="31">
      <c r="A31" s="18" t="inlineStr">
        <is>
          <t>K2</t>
        </is>
      </c>
      <c r="B31" s="4" t="inlineStr">
        <is>
          <t>Платформа подготовки</t>
        </is>
      </c>
      <c r="C31" s="4" t="inlineStr">
        <is>
          <t>сайт для подготовки к егэ</t>
        </is>
      </c>
      <c r="D31" s="4" t="inlineStr">
        <is>
          <t>Горячая</t>
        </is>
      </c>
      <c r="E31" s="18" t="n">
        <v>1</v>
      </c>
      <c r="F31" s="18">
        <f>LEN(TRIM(C31))-LEN(SUBSTITUTE(TRIM(C31)," ",""))+1</f>
        <v/>
      </c>
      <c r="G31" s="18">
        <f>IF(AND(F31&lt;=7,LEN(C31)&lt;=4096),"OK","ошибка")</f>
        <v/>
      </c>
      <c r="H31" s="10" t="inlineStr"/>
    </row>
    <row r="32">
      <c r="A32" s="18" t="inlineStr">
        <is>
          <t>K2</t>
        </is>
      </c>
      <c r="B32" s="4" t="inlineStr">
        <is>
          <t>Платформа подготовки</t>
        </is>
      </c>
      <c r="C32" s="4" t="inlineStr">
        <is>
          <t>онлайн подготовка к егэ</t>
        </is>
      </c>
      <c r="D32" s="4" t="inlineStr">
        <is>
          <t>Горячая</t>
        </is>
      </c>
      <c r="E32" s="18" t="n">
        <v>1</v>
      </c>
      <c r="F32" s="18">
        <f>LEN(TRIM(C32))-LEN(SUBSTITUTE(TRIM(C32)," ",""))+1</f>
        <v/>
      </c>
      <c r="G32" s="18">
        <f>IF(AND(F32&lt;=7,LEN(C32)&lt;=4096),"OK","ошибка")</f>
        <v/>
      </c>
      <c r="H32" s="10" t="inlineStr"/>
    </row>
    <row r="33">
      <c r="A33" s="18" t="inlineStr">
        <is>
          <t>K2</t>
        </is>
      </c>
      <c r="B33" s="4" t="inlineStr">
        <is>
          <t>Платформа подготовки</t>
        </is>
      </c>
      <c r="C33" s="4" t="inlineStr">
        <is>
          <t>подготовка к егэ онлайн</t>
        </is>
      </c>
      <c r="D33" s="4" t="inlineStr">
        <is>
          <t>Горячая</t>
        </is>
      </c>
      <c r="E33" s="18" t="n">
        <v>1</v>
      </c>
      <c r="F33" s="18">
        <f>LEN(TRIM(C33))-LEN(SUBSTITUTE(TRIM(C33)," ",""))+1</f>
        <v/>
      </c>
      <c r="G33" s="18">
        <f>IF(AND(F33&lt;=7,LEN(C33)&lt;=4096),"OK","ошибка")</f>
        <v/>
      </c>
      <c r="H33" s="10" t="inlineStr"/>
    </row>
    <row r="34">
      <c r="A34" s="18" t="inlineStr">
        <is>
          <t>K2</t>
        </is>
      </c>
      <c r="B34" s="4" t="inlineStr">
        <is>
          <t>Платформа подготовки</t>
        </is>
      </c>
      <c r="C34" s="4" t="inlineStr">
        <is>
          <t>подготовка к егэ самостоятельно онлайн</t>
        </is>
      </c>
      <c r="D34" s="4" t="inlineStr">
        <is>
          <t>Горячая</t>
        </is>
      </c>
      <c r="E34" s="18" t="n">
        <v>1</v>
      </c>
      <c r="F34" s="18">
        <f>LEN(TRIM(C34))-LEN(SUBSTITUTE(TRIM(C34)," ",""))+1</f>
        <v/>
      </c>
      <c r="G34" s="18">
        <f>IF(AND(F34&lt;=7,LEN(C34)&lt;=4096),"OK","ошибка")</f>
        <v/>
      </c>
      <c r="H34" s="10" t="inlineStr"/>
    </row>
    <row r="35">
      <c r="A35" s="18" t="inlineStr">
        <is>
          <t>K2</t>
        </is>
      </c>
      <c r="B35" s="4" t="inlineStr">
        <is>
          <t>Платформа подготовки</t>
        </is>
      </c>
      <c r="C35" s="4" t="inlineStr">
        <is>
          <t>подготовка к егэ с нуля</t>
        </is>
      </c>
      <c r="D35" s="4" t="inlineStr">
        <is>
          <t>Горячая</t>
        </is>
      </c>
      <c r="E35" s="18" t="n">
        <v>1</v>
      </c>
      <c r="F35" s="18">
        <f>LEN(TRIM(C35))-LEN(SUBSTITUTE(TRIM(C35)," ",""))+1</f>
        <v/>
      </c>
      <c r="G35" s="18">
        <f>IF(AND(F35&lt;=7,LEN(C35)&lt;=4096),"OK","ошибка")</f>
        <v/>
      </c>
      <c r="H35" s="10" t="inlineStr"/>
    </row>
    <row r="36">
      <c r="A36" s="18" t="inlineStr">
        <is>
          <t>K2</t>
        </is>
      </c>
      <c r="B36" s="4" t="inlineStr">
        <is>
          <t>Платформа подготовки</t>
        </is>
      </c>
      <c r="C36" s="4" t="inlineStr">
        <is>
          <t>сервис для подготовки к егэ</t>
        </is>
      </c>
      <c r="D36" s="4" t="inlineStr">
        <is>
          <t>Горячая</t>
        </is>
      </c>
      <c r="E36" s="18" t="n">
        <v>1</v>
      </c>
      <c r="F36" s="18">
        <f>LEN(TRIM(C36))-LEN(SUBSTITUTE(TRIM(C36)," ",""))+1</f>
        <v/>
      </c>
      <c r="G36" s="18">
        <f>IF(AND(F36&lt;=7,LEN(C36)&lt;=4096),"OK","ошибка")</f>
        <v/>
      </c>
      <c r="H36" s="10" t="inlineStr"/>
    </row>
    <row r="37">
      <c r="A37" s="18" t="inlineStr">
        <is>
          <t>K2</t>
        </is>
      </c>
      <c r="B37" s="4" t="inlineStr">
        <is>
          <t>Платформа подготовки</t>
        </is>
      </c>
      <c r="C37" s="4" t="inlineStr">
        <is>
          <t>подготовка к егэ дома онлайн</t>
        </is>
      </c>
      <c r="D37" s="4" t="inlineStr">
        <is>
          <t>Горячая</t>
        </is>
      </c>
      <c r="E37" s="18" t="n">
        <v>1</v>
      </c>
      <c r="F37" s="18">
        <f>LEN(TRIM(C37))-LEN(SUBSTITUTE(TRIM(C37)," ",""))+1</f>
        <v/>
      </c>
      <c r="G37" s="18">
        <f>IF(AND(F37&lt;=7,LEN(C37)&lt;=4096),"OK","ошибка")</f>
        <v/>
      </c>
      <c r="H37" s="10" t="inlineStr"/>
    </row>
    <row r="38">
      <c r="A38" s="18" t="inlineStr">
        <is>
          <t>K2</t>
        </is>
      </c>
      <c r="B38" s="4" t="inlineStr">
        <is>
          <t>ЕГЭ 2027</t>
        </is>
      </c>
      <c r="C38" s="4" t="inlineStr">
        <is>
          <t>подготовка к егэ 2027</t>
        </is>
      </c>
      <c r="D38" s="4" t="inlineStr">
        <is>
          <t>Горячая</t>
        </is>
      </c>
      <c r="E38" s="18" t="n">
        <v>1</v>
      </c>
      <c r="F38" s="18">
        <f>LEN(TRIM(C38))-LEN(SUBSTITUTE(TRIM(C38)," ",""))+1</f>
        <v/>
      </c>
      <c r="G38" s="18">
        <f>IF(AND(F38&lt;=7,LEN(C38)&lt;=4096),"OK","ошибка")</f>
        <v/>
      </c>
      <c r="H38" s="10" t="inlineStr">
        <is>
          <t>Год экзамена — 2027 (сентябрь 2026). Проверить частотность в Wordstat.</t>
        </is>
      </c>
    </row>
    <row r="39">
      <c r="A39" s="18" t="inlineStr">
        <is>
          <t>K2</t>
        </is>
      </c>
      <c r="B39" s="4" t="inlineStr">
        <is>
          <t>ЕГЭ 2027</t>
        </is>
      </c>
      <c r="C39" s="4" t="inlineStr">
        <is>
          <t>егэ 2027 подготовка онлайн</t>
        </is>
      </c>
      <c r="D39" s="4" t="inlineStr">
        <is>
          <t>Горячая</t>
        </is>
      </c>
      <c r="E39" s="18" t="n">
        <v>1</v>
      </c>
      <c r="F39" s="18">
        <f>LEN(TRIM(C39))-LEN(SUBSTITUTE(TRIM(C39)," ",""))+1</f>
        <v/>
      </c>
      <c r="G39" s="18">
        <f>IF(AND(F39&lt;=7,LEN(C39)&lt;=4096),"OK","ошибка")</f>
        <v/>
      </c>
      <c r="H39" s="10" t="inlineStr">
        <is>
          <t>Год экзамена — 2027 (сентябрь 2026). Проверить частотность в Wordstat.</t>
        </is>
      </c>
    </row>
    <row r="40">
      <c r="A40" s="18" t="inlineStr">
        <is>
          <t>K2</t>
        </is>
      </c>
      <c r="B40" s="4" t="inlineStr">
        <is>
          <t>ЕГЭ 2027</t>
        </is>
      </c>
      <c r="C40" s="4" t="inlineStr">
        <is>
          <t>тренажер егэ 2027</t>
        </is>
      </c>
      <c r="D40" s="4" t="inlineStr">
        <is>
          <t>Горячая</t>
        </is>
      </c>
      <c r="E40" s="18" t="n">
        <v>1</v>
      </c>
      <c r="F40" s="18">
        <f>LEN(TRIM(C40))-LEN(SUBSTITUTE(TRIM(C40)," ",""))+1</f>
        <v/>
      </c>
      <c r="G40" s="18">
        <f>IF(AND(F40&lt;=7,LEN(C40)&lt;=4096),"OK","ошибка")</f>
        <v/>
      </c>
      <c r="H40" s="10" t="inlineStr">
        <is>
          <t>Год экзамена — 2027 (сентябрь 2026). Проверить частотность в Wordstat.</t>
        </is>
      </c>
    </row>
    <row r="41">
      <c r="A41" s="18" t="inlineStr">
        <is>
          <t>K2</t>
        </is>
      </c>
      <c r="B41" s="4" t="inlineStr">
        <is>
          <t>ЕГЭ 2027</t>
        </is>
      </c>
      <c r="C41" s="4" t="inlineStr">
        <is>
          <t>задания егэ 2027</t>
        </is>
      </c>
      <c r="D41" s="4" t="inlineStr">
        <is>
          <t>Горячая</t>
        </is>
      </c>
      <c r="E41" s="18" t="n">
        <v>1</v>
      </c>
      <c r="F41" s="18">
        <f>LEN(TRIM(C41))-LEN(SUBSTITUTE(TRIM(C41)," ",""))+1</f>
        <v/>
      </c>
      <c r="G41" s="18">
        <f>IF(AND(F41&lt;=7,LEN(C41)&lt;=4096),"OK","ошибка")</f>
        <v/>
      </c>
      <c r="H41" s="10" t="inlineStr">
        <is>
          <t>Год экзамена — 2027 (сентябрь 2026). Проверить частотность в Wordstat.</t>
        </is>
      </c>
    </row>
    <row r="42">
      <c r="A42" s="18" t="inlineStr">
        <is>
          <t>K2</t>
        </is>
      </c>
      <c r="B42" s="4" t="inlineStr">
        <is>
          <t>ЕГЭ 2027</t>
        </is>
      </c>
      <c r="C42" s="4" t="inlineStr">
        <is>
          <t>егэ 2027 репетитор онлайн</t>
        </is>
      </c>
      <c r="D42" s="4" t="inlineStr">
        <is>
          <t>Горячая</t>
        </is>
      </c>
      <c r="E42" s="18" t="n">
        <v>1</v>
      </c>
      <c r="F42" s="18">
        <f>LEN(TRIM(C42))-LEN(SUBSTITUTE(TRIM(C42)," ",""))+1</f>
        <v/>
      </c>
      <c r="G42" s="18">
        <f>IF(AND(F42&lt;=7,LEN(C42)&lt;=4096),"OK","ошибка")</f>
        <v/>
      </c>
      <c r="H42" s="10" t="inlineStr">
        <is>
          <t>Год экзамена — 2027 (сентябрь 2026). Проверить частотность в Wordstat.</t>
        </is>
      </c>
    </row>
    <row r="43">
      <c r="A43" s="18" t="inlineStr">
        <is>
          <t>K2</t>
        </is>
      </c>
      <c r="B43" s="4" t="inlineStr">
        <is>
          <t>ЕГЭ 2027</t>
        </is>
      </c>
      <c r="C43" s="4" t="inlineStr">
        <is>
          <t>егэ 2027 ии</t>
        </is>
      </c>
      <c r="D43" s="4" t="inlineStr">
        <is>
          <t>Горячая</t>
        </is>
      </c>
      <c r="E43" s="18" t="n">
        <v>1</v>
      </c>
      <c r="F43" s="18">
        <f>LEN(TRIM(C43))-LEN(SUBSTITUTE(TRIM(C43)," ",""))+1</f>
        <v/>
      </c>
      <c r="G43" s="18">
        <f>IF(AND(F43&lt;=7,LEN(C43)&lt;=4096),"OK","ошибка")</f>
        <v/>
      </c>
      <c r="H43" s="10" t="inlineStr">
        <is>
          <t>Год экзамена — 2027 (сентябрь 2026). Проверить частотность в Wordstat.</t>
        </is>
      </c>
    </row>
    <row r="44">
      <c r="A44" s="18" t="inlineStr">
        <is>
          <t>K2</t>
        </is>
      </c>
      <c r="B44" s="4" t="inlineStr">
        <is>
          <t>ЕГЭ 2027</t>
        </is>
      </c>
      <c r="C44" s="4" t="inlineStr">
        <is>
          <t>подготовка к егэ 2027 самостоятельно</t>
        </is>
      </c>
      <c r="D44" s="4" t="inlineStr">
        <is>
          <t>Горячая</t>
        </is>
      </c>
      <c r="E44" s="18" t="n">
        <v>1</v>
      </c>
      <c r="F44" s="18">
        <f>LEN(TRIM(C44))-LEN(SUBSTITUTE(TRIM(C44)," ",""))+1</f>
        <v/>
      </c>
      <c r="G44" s="18">
        <f>IF(AND(F44&lt;=7,LEN(C44)&lt;=4096),"OK","ошибка")</f>
        <v/>
      </c>
      <c r="H44" s="10" t="inlineStr">
        <is>
          <t>Год экзамена — 2027 (сентябрь 2026). Проверить частотность в Wordstat.</t>
        </is>
      </c>
    </row>
    <row r="45">
      <c r="A45" s="18" t="inlineStr">
        <is>
          <t>K3</t>
        </is>
      </c>
      <c r="B45" s="4" t="inlineStr">
        <is>
          <t>ЕГЭ математика</t>
        </is>
      </c>
      <c r="C45" s="4" t="inlineStr">
        <is>
          <t>подготовка к егэ по математике профиль</t>
        </is>
      </c>
      <c r="D45" s="4" t="inlineStr">
        <is>
          <t>Тёплая</t>
        </is>
      </c>
      <c r="E45" s="18" t="n">
        <v>1</v>
      </c>
      <c r="F45" s="18">
        <f>LEN(TRIM(C45))-LEN(SUBSTITUTE(TRIM(C45)," ",""))+1</f>
        <v/>
      </c>
      <c r="G45" s="18">
        <f>IF(AND(F45&lt;=7,LEN(C45)&lt;=4096),"OK","ошибка")</f>
        <v/>
      </c>
      <c r="H45" s="10" t="inlineStr"/>
    </row>
    <row r="46">
      <c r="A46" s="18" t="inlineStr">
        <is>
          <t>K3</t>
        </is>
      </c>
      <c r="B46" s="4" t="inlineStr">
        <is>
          <t>ЕГЭ математика</t>
        </is>
      </c>
      <c r="C46" s="4" t="inlineStr">
        <is>
          <t>егэ математика профиль онлайн подготовка</t>
        </is>
      </c>
      <c r="D46" s="4" t="inlineStr">
        <is>
          <t>Тёплая</t>
        </is>
      </c>
      <c r="E46" s="18" t="n">
        <v>1</v>
      </c>
      <c r="F46" s="18">
        <f>LEN(TRIM(C46))-LEN(SUBSTITUTE(TRIM(C46)," ",""))+1</f>
        <v/>
      </c>
      <c r="G46" s="18">
        <f>IF(AND(F46&lt;=7,LEN(C46)&lt;=4096),"OK","ошибка")</f>
        <v/>
      </c>
      <c r="H46" s="10" t="inlineStr"/>
    </row>
    <row r="47">
      <c r="A47" s="18" t="inlineStr">
        <is>
          <t>K3</t>
        </is>
      </c>
      <c r="B47" s="4" t="inlineStr">
        <is>
          <t>ЕГЭ математика</t>
        </is>
      </c>
      <c r="C47" s="4" t="inlineStr">
        <is>
          <t>тренажер егэ математика профиль</t>
        </is>
      </c>
      <c r="D47" s="4" t="inlineStr">
        <is>
          <t>Тёплая</t>
        </is>
      </c>
      <c r="E47" s="18" t="n">
        <v>1</v>
      </c>
      <c r="F47" s="18">
        <f>LEN(TRIM(C47))-LEN(SUBSTITUTE(TRIM(C47)," ",""))+1</f>
        <v/>
      </c>
      <c r="G47" s="18">
        <f>IF(AND(F47&lt;=7,LEN(C47)&lt;=4096),"OK","ошибка")</f>
        <v/>
      </c>
      <c r="H47" s="10" t="inlineStr"/>
    </row>
    <row r="48">
      <c r="A48" s="18" t="inlineStr">
        <is>
          <t>K3</t>
        </is>
      </c>
      <c r="B48" s="4" t="inlineStr">
        <is>
          <t>ЕГЭ математика</t>
        </is>
      </c>
      <c r="C48" s="4" t="inlineStr">
        <is>
          <t>задания егэ математика профиль онлайн</t>
        </is>
      </c>
      <c r="D48" s="4" t="inlineStr">
        <is>
          <t>Тёплая</t>
        </is>
      </c>
      <c r="E48" s="18" t="n">
        <v>1</v>
      </c>
      <c r="F48" s="18">
        <f>LEN(TRIM(C48))-LEN(SUBSTITUTE(TRIM(C48)," ",""))+1</f>
        <v/>
      </c>
      <c r="G48" s="18">
        <f>IF(AND(F48&lt;=7,LEN(C48)&lt;=4096),"OK","ошибка")</f>
        <v/>
      </c>
      <c r="H48" s="10" t="inlineStr"/>
    </row>
    <row r="49">
      <c r="A49" s="18" t="inlineStr">
        <is>
          <t>K3</t>
        </is>
      </c>
      <c r="B49" s="4" t="inlineStr">
        <is>
          <t>ЕГЭ математика</t>
        </is>
      </c>
      <c r="C49" s="4" t="inlineStr">
        <is>
          <t>решать егэ математика профиль онлайн</t>
        </is>
      </c>
      <c r="D49" s="4" t="inlineStr">
        <is>
          <t>Тёплая</t>
        </is>
      </c>
      <c r="E49" s="18" t="n">
        <v>1</v>
      </c>
      <c r="F49" s="18">
        <f>LEN(TRIM(C49))-LEN(SUBSTITUTE(TRIM(C49)," ",""))+1</f>
        <v/>
      </c>
      <c r="G49" s="18">
        <f>IF(AND(F49&lt;=7,LEN(C49)&lt;=4096),"OK","ошибка")</f>
        <v/>
      </c>
      <c r="H49" s="10" t="inlineStr"/>
    </row>
    <row r="50">
      <c r="A50" s="18" t="inlineStr">
        <is>
          <t>K3</t>
        </is>
      </c>
      <c r="B50" s="4" t="inlineStr">
        <is>
          <t>ЕГЭ математика</t>
        </is>
      </c>
      <c r="C50" s="4" t="inlineStr">
        <is>
          <t>репетитор по математике профиль егэ онлайн</t>
        </is>
      </c>
      <c r="D50" s="4" t="inlineStr">
        <is>
          <t>Тёплая</t>
        </is>
      </c>
      <c r="E50" s="18" t="n">
        <v>1</v>
      </c>
      <c r="F50" s="18">
        <f>LEN(TRIM(C50))-LEN(SUBSTITUTE(TRIM(C50)," ",""))+1</f>
        <v/>
      </c>
      <c r="G50" s="18">
        <f>IF(AND(F50&lt;=7,LEN(C50)&lt;=4096),"OK","ошибка")</f>
        <v/>
      </c>
      <c r="H50" s="10" t="inlineStr"/>
    </row>
    <row r="51">
      <c r="A51" s="18" t="inlineStr">
        <is>
          <t>K3</t>
        </is>
      </c>
      <c r="B51" s="4" t="inlineStr">
        <is>
          <t>ЕГЭ математика</t>
        </is>
      </c>
      <c r="C51" s="4" t="inlineStr">
        <is>
          <t>ии репетитор математика профиль егэ</t>
        </is>
      </c>
      <c r="D51" s="4" t="inlineStr">
        <is>
          <t>Тёплая</t>
        </is>
      </c>
      <c r="E51" s="18" t="n">
        <v>1</v>
      </c>
      <c r="F51" s="18">
        <f>LEN(TRIM(C51))-LEN(SUBSTITUTE(TRIM(C51)," ",""))+1</f>
        <v/>
      </c>
      <c r="G51" s="18">
        <f>IF(AND(F51&lt;=7,LEN(C51)&lt;=4096),"OK","ошибка")</f>
        <v/>
      </c>
      <c r="H51" s="10" t="inlineStr"/>
    </row>
    <row r="52">
      <c r="A52" s="18" t="inlineStr">
        <is>
          <t>K3</t>
        </is>
      </c>
      <c r="B52" s="4" t="inlineStr">
        <is>
          <t>ЕГЭ математика</t>
        </is>
      </c>
      <c r="C52" s="4" t="inlineStr">
        <is>
          <t>разбор заданий егэ математика профиль</t>
        </is>
      </c>
      <c r="D52" s="4" t="inlineStr">
        <is>
          <t>Тёплая</t>
        </is>
      </c>
      <c r="E52" s="18" t="n">
        <v>1</v>
      </c>
      <c r="F52" s="18">
        <f>LEN(TRIM(C52))-LEN(SUBSTITUTE(TRIM(C52)," ",""))+1</f>
        <v/>
      </c>
      <c r="G52" s="18">
        <f>IF(AND(F52&lt;=7,LEN(C52)&lt;=4096),"OK","ошибка")</f>
        <v/>
      </c>
      <c r="H52" s="10" t="inlineStr"/>
    </row>
    <row r="53">
      <c r="A53" s="18" t="inlineStr">
        <is>
          <t>K3</t>
        </is>
      </c>
      <c r="B53" s="4" t="inlineStr">
        <is>
          <t>ЕГЭ математика</t>
        </is>
      </c>
      <c r="C53" s="4" t="inlineStr">
        <is>
          <t>варианты егэ математика профиль онлайн</t>
        </is>
      </c>
      <c r="D53" s="4" t="inlineStr">
        <is>
          <t>Тёплая</t>
        </is>
      </c>
      <c r="E53" s="18" t="n">
        <v>1</v>
      </c>
      <c r="F53" s="18">
        <f>LEN(TRIM(C53))-LEN(SUBSTITUTE(TRIM(C53)," ",""))+1</f>
        <v/>
      </c>
      <c r="G53" s="18">
        <f>IF(AND(F53&lt;=7,LEN(C53)&lt;=4096),"OK","ошибка")</f>
        <v/>
      </c>
      <c r="H53" s="10" t="inlineStr"/>
    </row>
    <row r="54">
      <c r="A54" s="18" t="inlineStr">
        <is>
          <t>K3</t>
        </is>
      </c>
      <c r="B54" s="4" t="inlineStr">
        <is>
          <t>ЕГЭ математика</t>
        </is>
      </c>
      <c r="C54" s="4" t="inlineStr">
        <is>
          <t>банк заданий фипи математика профиль</t>
        </is>
      </c>
      <c r="D54" s="4" t="inlineStr">
        <is>
          <t>Тёплая</t>
        </is>
      </c>
      <c r="E54" s="18" t="n">
        <v>1</v>
      </c>
      <c r="F54" s="18">
        <f>LEN(TRIM(C54))-LEN(SUBSTITUTE(TRIM(C54)," ",""))+1</f>
        <v/>
      </c>
      <c r="G54" s="18">
        <f>IF(AND(F54&lt;=7,LEN(C54)&lt;=4096),"OK","ошибка")</f>
        <v/>
      </c>
      <c r="H54" s="10" t="inlineStr"/>
    </row>
    <row r="55">
      <c r="A55" s="18" t="inlineStr">
        <is>
          <t>K3</t>
        </is>
      </c>
      <c r="B55" s="4" t="inlineStr">
        <is>
          <t>ЕГЭ математика</t>
        </is>
      </c>
      <c r="C55" s="4" t="inlineStr">
        <is>
          <t>пробный егэ математика профиль онлайн</t>
        </is>
      </c>
      <c r="D55" s="4" t="inlineStr">
        <is>
          <t>Тёплая</t>
        </is>
      </c>
      <c r="E55" s="18" t="n">
        <v>1</v>
      </c>
      <c r="F55" s="18">
        <f>LEN(TRIM(C55))-LEN(SUBSTITUTE(TRIM(C55)," ",""))+1</f>
        <v/>
      </c>
      <c r="G55" s="18">
        <f>IF(AND(F55&lt;=7,LEN(C55)&lt;=4096),"OK","ошибка")</f>
        <v/>
      </c>
      <c r="H55" s="10" t="inlineStr"/>
    </row>
    <row r="56">
      <c r="A56" s="18" t="inlineStr">
        <is>
          <t>K3</t>
        </is>
      </c>
      <c r="B56" s="4" t="inlineStr">
        <is>
          <t>ЕГЭ математика</t>
        </is>
      </c>
      <c r="C56" s="4" t="inlineStr">
        <is>
          <t>егэ математика профиль с нуля</t>
        </is>
      </c>
      <c r="D56" s="4" t="inlineStr">
        <is>
          <t>Тёплая</t>
        </is>
      </c>
      <c r="E56" s="18" t="n">
        <v>1</v>
      </c>
      <c r="F56" s="18">
        <f>LEN(TRIM(C56))-LEN(SUBSTITUTE(TRIM(C56)," ",""))+1</f>
        <v/>
      </c>
      <c r="G56" s="18">
        <f>IF(AND(F56&lt;=7,LEN(C56)&lt;=4096),"OK","ошибка")</f>
        <v/>
      </c>
      <c r="H56" s="10" t="inlineStr"/>
    </row>
    <row r="57">
      <c r="A57" s="18" t="inlineStr">
        <is>
          <t>K3</t>
        </is>
      </c>
      <c r="B57" s="4" t="inlineStr">
        <is>
          <t>ЕГЭ русский язык</t>
        </is>
      </c>
      <c r="C57" s="4" t="inlineStr">
        <is>
          <t>подготовка к егэ по русскому языку</t>
        </is>
      </c>
      <c r="D57" s="4" t="inlineStr">
        <is>
          <t>Тёплая</t>
        </is>
      </c>
      <c r="E57" s="18" t="n">
        <v>1</v>
      </c>
      <c r="F57" s="18">
        <f>LEN(TRIM(C57))-LEN(SUBSTITUTE(TRIM(C57)," ",""))+1</f>
        <v/>
      </c>
      <c r="G57" s="18">
        <f>IF(AND(F57&lt;=7,LEN(C57)&lt;=4096),"OK","ошибка")</f>
        <v/>
      </c>
      <c r="H57" s="10" t="inlineStr"/>
    </row>
    <row r="58">
      <c r="A58" s="18" t="inlineStr">
        <is>
          <t>K3</t>
        </is>
      </c>
      <c r="B58" s="4" t="inlineStr">
        <is>
          <t>ЕГЭ русский язык</t>
        </is>
      </c>
      <c r="C58" s="4" t="inlineStr">
        <is>
          <t>егэ русский язык онлайн подготовка</t>
        </is>
      </c>
      <c r="D58" s="4" t="inlineStr">
        <is>
          <t>Тёплая</t>
        </is>
      </c>
      <c r="E58" s="18" t="n">
        <v>1</v>
      </c>
      <c r="F58" s="18">
        <f>LEN(TRIM(C58))-LEN(SUBSTITUTE(TRIM(C58)," ",""))+1</f>
        <v/>
      </c>
      <c r="G58" s="18">
        <f>IF(AND(F58&lt;=7,LEN(C58)&lt;=4096),"OK","ошибка")</f>
        <v/>
      </c>
      <c r="H58" s="10" t="inlineStr"/>
    </row>
    <row r="59">
      <c r="A59" s="18" t="inlineStr">
        <is>
          <t>K3</t>
        </is>
      </c>
      <c r="B59" s="4" t="inlineStr">
        <is>
          <t>ЕГЭ русский язык</t>
        </is>
      </c>
      <c r="C59" s="4" t="inlineStr">
        <is>
          <t>тренажер егэ русский язык</t>
        </is>
      </c>
      <c r="D59" s="4" t="inlineStr">
        <is>
          <t>Тёплая</t>
        </is>
      </c>
      <c r="E59" s="18" t="n">
        <v>1</v>
      </c>
      <c r="F59" s="18">
        <f>LEN(TRIM(C59))-LEN(SUBSTITUTE(TRIM(C59)," ",""))+1</f>
        <v/>
      </c>
      <c r="G59" s="18">
        <f>IF(AND(F59&lt;=7,LEN(C59)&lt;=4096),"OK","ошибка")</f>
        <v/>
      </c>
      <c r="H59" s="10" t="inlineStr"/>
    </row>
    <row r="60">
      <c r="A60" s="18" t="inlineStr">
        <is>
          <t>K3</t>
        </is>
      </c>
      <c r="B60" s="4" t="inlineStr">
        <is>
          <t>ЕГЭ русский язык</t>
        </is>
      </c>
      <c r="C60" s="4" t="inlineStr">
        <is>
          <t>задания егэ русский язык онлайн</t>
        </is>
      </c>
      <c r="D60" s="4" t="inlineStr">
        <is>
          <t>Тёплая</t>
        </is>
      </c>
      <c r="E60" s="18" t="n">
        <v>1</v>
      </c>
      <c r="F60" s="18">
        <f>LEN(TRIM(C60))-LEN(SUBSTITUTE(TRIM(C60)," ",""))+1</f>
        <v/>
      </c>
      <c r="G60" s="18">
        <f>IF(AND(F60&lt;=7,LEN(C60)&lt;=4096),"OK","ошибка")</f>
        <v/>
      </c>
      <c r="H60" s="10" t="inlineStr"/>
    </row>
    <row r="61">
      <c r="A61" s="18" t="inlineStr">
        <is>
          <t>K3</t>
        </is>
      </c>
      <c r="B61" s="4" t="inlineStr">
        <is>
          <t>ЕГЭ русский язык</t>
        </is>
      </c>
      <c r="C61" s="4" t="inlineStr">
        <is>
          <t>решать егэ русский язык онлайн</t>
        </is>
      </c>
      <c r="D61" s="4" t="inlineStr">
        <is>
          <t>Тёплая</t>
        </is>
      </c>
      <c r="E61" s="18" t="n">
        <v>1</v>
      </c>
      <c r="F61" s="18">
        <f>LEN(TRIM(C61))-LEN(SUBSTITUTE(TRIM(C61)," ",""))+1</f>
        <v/>
      </c>
      <c r="G61" s="18">
        <f>IF(AND(F61&lt;=7,LEN(C61)&lt;=4096),"OK","ошибка")</f>
        <v/>
      </c>
      <c r="H61" s="10" t="inlineStr"/>
    </row>
    <row r="62">
      <c r="A62" s="18" t="inlineStr">
        <is>
          <t>K3</t>
        </is>
      </c>
      <c r="B62" s="4" t="inlineStr">
        <is>
          <t>ЕГЭ русский язык</t>
        </is>
      </c>
      <c r="C62" s="4" t="inlineStr">
        <is>
          <t>репетитор по русскому языку егэ онлайн</t>
        </is>
      </c>
      <c r="D62" s="4" t="inlineStr">
        <is>
          <t>Тёплая</t>
        </is>
      </c>
      <c r="E62" s="18" t="n">
        <v>1</v>
      </c>
      <c r="F62" s="18">
        <f>LEN(TRIM(C62))-LEN(SUBSTITUTE(TRIM(C62)," ",""))+1</f>
        <v/>
      </c>
      <c r="G62" s="18">
        <f>IF(AND(F62&lt;=7,LEN(C62)&lt;=4096),"OK","ошибка")</f>
        <v/>
      </c>
      <c r="H62" s="10" t="inlineStr"/>
    </row>
    <row r="63">
      <c r="A63" s="18" t="inlineStr">
        <is>
          <t>K3</t>
        </is>
      </c>
      <c r="B63" s="4" t="inlineStr">
        <is>
          <t>ЕГЭ русский язык</t>
        </is>
      </c>
      <c r="C63" s="4" t="inlineStr">
        <is>
          <t>ии репетитор русский язык егэ</t>
        </is>
      </c>
      <c r="D63" s="4" t="inlineStr">
        <is>
          <t>Тёплая</t>
        </is>
      </c>
      <c r="E63" s="18" t="n">
        <v>1</v>
      </c>
      <c r="F63" s="18">
        <f>LEN(TRIM(C63))-LEN(SUBSTITUTE(TRIM(C63)," ",""))+1</f>
        <v/>
      </c>
      <c r="G63" s="18">
        <f>IF(AND(F63&lt;=7,LEN(C63)&lt;=4096),"OK","ошибка")</f>
        <v/>
      </c>
      <c r="H63" s="10" t="inlineStr"/>
    </row>
    <row r="64">
      <c r="A64" s="18" t="inlineStr">
        <is>
          <t>K3</t>
        </is>
      </c>
      <c r="B64" s="4" t="inlineStr">
        <is>
          <t>ЕГЭ русский язык</t>
        </is>
      </c>
      <c r="C64" s="4" t="inlineStr">
        <is>
          <t>разбор заданий егэ русский язык</t>
        </is>
      </c>
      <c r="D64" s="4" t="inlineStr">
        <is>
          <t>Тёплая</t>
        </is>
      </c>
      <c r="E64" s="18" t="n">
        <v>1</v>
      </c>
      <c r="F64" s="18">
        <f>LEN(TRIM(C64))-LEN(SUBSTITUTE(TRIM(C64)," ",""))+1</f>
        <v/>
      </c>
      <c r="G64" s="18">
        <f>IF(AND(F64&lt;=7,LEN(C64)&lt;=4096),"OK","ошибка")</f>
        <v/>
      </c>
      <c r="H64" s="10" t="inlineStr"/>
    </row>
    <row r="65">
      <c r="A65" s="18" t="inlineStr">
        <is>
          <t>K3</t>
        </is>
      </c>
      <c r="B65" s="4" t="inlineStr">
        <is>
          <t>ЕГЭ русский язык</t>
        </is>
      </c>
      <c r="C65" s="4" t="inlineStr">
        <is>
          <t>варианты егэ русский язык онлайн</t>
        </is>
      </c>
      <c r="D65" s="4" t="inlineStr">
        <is>
          <t>Тёплая</t>
        </is>
      </c>
      <c r="E65" s="18" t="n">
        <v>1</v>
      </c>
      <c r="F65" s="18">
        <f>LEN(TRIM(C65))-LEN(SUBSTITUTE(TRIM(C65)," ",""))+1</f>
        <v/>
      </c>
      <c r="G65" s="18">
        <f>IF(AND(F65&lt;=7,LEN(C65)&lt;=4096),"OK","ошибка")</f>
        <v/>
      </c>
      <c r="H65" s="10" t="inlineStr"/>
    </row>
    <row r="66">
      <c r="A66" s="18" t="inlineStr">
        <is>
          <t>K3</t>
        </is>
      </c>
      <c r="B66" s="4" t="inlineStr">
        <is>
          <t>ЕГЭ русский язык</t>
        </is>
      </c>
      <c r="C66" s="4" t="inlineStr">
        <is>
          <t>банк заданий фипи русский язык</t>
        </is>
      </c>
      <c r="D66" s="4" t="inlineStr">
        <is>
          <t>Тёплая</t>
        </is>
      </c>
      <c r="E66" s="18" t="n">
        <v>1</v>
      </c>
      <c r="F66" s="18">
        <f>LEN(TRIM(C66))-LEN(SUBSTITUTE(TRIM(C66)," ",""))+1</f>
        <v/>
      </c>
      <c r="G66" s="18">
        <f>IF(AND(F66&lt;=7,LEN(C66)&lt;=4096),"OK","ошибка")</f>
        <v/>
      </c>
      <c r="H66" s="10" t="inlineStr"/>
    </row>
    <row r="67">
      <c r="A67" s="18" t="inlineStr">
        <is>
          <t>K3</t>
        </is>
      </c>
      <c r="B67" s="4" t="inlineStr">
        <is>
          <t>ЕГЭ русский язык</t>
        </is>
      </c>
      <c r="C67" s="4" t="inlineStr">
        <is>
          <t>пробный егэ русский язык онлайн</t>
        </is>
      </c>
      <c r="D67" s="4" t="inlineStr">
        <is>
          <t>Тёплая</t>
        </is>
      </c>
      <c r="E67" s="18" t="n">
        <v>1</v>
      </c>
      <c r="F67" s="18">
        <f>LEN(TRIM(C67))-LEN(SUBSTITUTE(TRIM(C67)," ",""))+1</f>
        <v/>
      </c>
      <c r="G67" s="18">
        <f>IF(AND(F67&lt;=7,LEN(C67)&lt;=4096),"OK","ошибка")</f>
        <v/>
      </c>
      <c r="H67" s="10" t="inlineStr"/>
    </row>
    <row r="68">
      <c r="A68" s="18" t="inlineStr">
        <is>
          <t>K3</t>
        </is>
      </c>
      <c r="B68" s="4" t="inlineStr">
        <is>
          <t>ЕГЭ русский язык</t>
        </is>
      </c>
      <c r="C68" s="4" t="inlineStr">
        <is>
          <t>егэ русский язык с нуля</t>
        </is>
      </c>
      <c r="D68" s="4" t="inlineStr">
        <is>
          <t>Тёплая</t>
        </is>
      </c>
      <c r="E68" s="18" t="n">
        <v>1</v>
      </c>
      <c r="F68" s="18">
        <f>LEN(TRIM(C68))-LEN(SUBSTITUTE(TRIM(C68)," ",""))+1</f>
        <v/>
      </c>
      <c r="G68" s="18">
        <f>IF(AND(F68&lt;=7,LEN(C68)&lt;=4096),"OK","ошибка")</f>
        <v/>
      </c>
      <c r="H68" s="10" t="inlineStr"/>
    </row>
    <row r="69">
      <c r="A69" s="18" t="inlineStr">
        <is>
          <t>K3</t>
        </is>
      </c>
      <c r="B69" s="4" t="inlineStr">
        <is>
          <t>ЕГЭ обществознание</t>
        </is>
      </c>
      <c r="C69" s="4" t="inlineStr">
        <is>
          <t>подготовка к егэ по обществознанию</t>
        </is>
      </c>
      <c r="D69" s="4" t="inlineStr">
        <is>
          <t>Тёплая</t>
        </is>
      </c>
      <c r="E69" s="18" t="n">
        <v>1</v>
      </c>
      <c r="F69" s="18">
        <f>LEN(TRIM(C69))-LEN(SUBSTITUTE(TRIM(C69)," ",""))+1</f>
        <v/>
      </c>
      <c r="G69" s="18">
        <f>IF(AND(F69&lt;=7,LEN(C69)&lt;=4096),"OK","ошибка")</f>
        <v/>
      </c>
      <c r="H69" s="10" t="inlineStr"/>
    </row>
    <row r="70">
      <c r="A70" s="18" t="inlineStr">
        <is>
          <t>K3</t>
        </is>
      </c>
      <c r="B70" s="4" t="inlineStr">
        <is>
          <t>ЕГЭ обществознание</t>
        </is>
      </c>
      <c r="C70" s="4" t="inlineStr">
        <is>
          <t>егэ обществознание онлайн подготовка</t>
        </is>
      </c>
      <c r="D70" s="4" t="inlineStr">
        <is>
          <t>Тёплая</t>
        </is>
      </c>
      <c r="E70" s="18" t="n">
        <v>1</v>
      </c>
      <c r="F70" s="18">
        <f>LEN(TRIM(C70))-LEN(SUBSTITUTE(TRIM(C70)," ",""))+1</f>
        <v/>
      </c>
      <c r="G70" s="18">
        <f>IF(AND(F70&lt;=7,LEN(C70)&lt;=4096),"OK","ошибка")</f>
        <v/>
      </c>
      <c r="H70" s="10" t="inlineStr"/>
    </row>
    <row r="71">
      <c r="A71" s="18" t="inlineStr">
        <is>
          <t>K3</t>
        </is>
      </c>
      <c r="B71" s="4" t="inlineStr">
        <is>
          <t>ЕГЭ обществознание</t>
        </is>
      </c>
      <c r="C71" s="4" t="inlineStr">
        <is>
          <t>тренажер егэ обществознание</t>
        </is>
      </c>
      <c r="D71" s="4" t="inlineStr">
        <is>
          <t>Тёплая</t>
        </is>
      </c>
      <c r="E71" s="18" t="n">
        <v>1</v>
      </c>
      <c r="F71" s="18">
        <f>LEN(TRIM(C71))-LEN(SUBSTITUTE(TRIM(C71)," ",""))+1</f>
        <v/>
      </c>
      <c r="G71" s="18">
        <f>IF(AND(F71&lt;=7,LEN(C71)&lt;=4096),"OK","ошибка")</f>
        <v/>
      </c>
      <c r="H71" s="10" t="inlineStr"/>
    </row>
    <row r="72">
      <c r="A72" s="18" t="inlineStr">
        <is>
          <t>K3</t>
        </is>
      </c>
      <c r="B72" s="4" t="inlineStr">
        <is>
          <t>ЕГЭ обществознание</t>
        </is>
      </c>
      <c r="C72" s="4" t="inlineStr">
        <is>
          <t>задания егэ обществознание онлайн</t>
        </is>
      </c>
      <c r="D72" s="4" t="inlineStr">
        <is>
          <t>Тёплая</t>
        </is>
      </c>
      <c r="E72" s="18" t="n">
        <v>1</v>
      </c>
      <c r="F72" s="18">
        <f>LEN(TRIM(C72))-LEN(SUBSTITUTE(TRIM(C72)," ",""))+1</f>
        <v/>
      </c>
      <c r="G72" s="18">
        <f>IF(AND(F72&lt;=7,LEN(C72)&lt;=4096),"OK","ошибка")</f>
        <v/>
      </c>
      <c r="H72" s="10" t="inlineStr"/>
    </row>
    <row r="73">
      <c r="A73" s="18" t="inlineStr">
        <is>
          <t>K3</t>
        </is>
      </c>
      <c r="B73" s="4" t="inlineStr">
        <is>
          <t>ЕГЭ обществознание</t>
        </is>
      </c>
      <c r="C73" s="4" t="inlineStr">
        <is>
          <t>решать егэ обществознание онлайн</t>
        </is>
      </c>
      <c r="D73" s="4" t="inlineStr">
        <is>
          <t>Тёплая</t>
        </is>
      </c>
      <c r="E73" s="18" t="n">
        <v>1</v>
      </c>
      <c r="F73" s="18">
        <f>LEN(TRIM(C73))-LEN(SUBSTITUTE(TRIM(C73)," ",""))+1</f>
        <v/>
      </c>
      <c r="G73" s="18">
        <f>IF(AND(F73&lt;=7,LEN(C73)&lt;=4096),"OK","ошибка")</f>
        <v/>
      </c>
      <c r="H73" s="10" t="inlineStr"/>
    </row>
    <row r="74">
      <c r="A74" s="18" t="inlineStr">
        <is>
          <t>K3</t>
        </is>
      </c>
      <c r="B74" s="4" t="inlineStr">
        <is>
          <t>ЕГЭ обществознание</t>
        </is>
      </c>
      <c r="C74" s="4" t="inlineStr">
        <is>
          <t>репетитор по обществознанию егэ онлайн</t>
        </is>
      </c>
      <c r="D74" s="4" t="inlineStr">
        <is>
          <t>Тёплая</t>
        </is>
      </c>
      <c r="E74" s="18" t="n">
        <v>1</v>
      </c>
      <c r="F74" s="18">
        <f>LEN(TRIM(C74))-LEN(SUBSTITUTE(TRIM(C74)," ",""))+1</f>
        <v/>
      </c>
      <c r="G74" s="18">
        <f>IF(AND(F74&lt;=7,LEN(C74)&lt;=4096),"OK","ошибка")</f>
        <v/>
      </c>
      <c r="H74" s="10" t="inlineStr"/>
    </row>
    <row r="75">
      <c r="A75" s="18" t="inlineStr">
        <is>
          <t>K3</t>
        </is>
      </c>
      <c r="B75" s="4" t="inlineStr">
        <is>
          <t>ЕГЭ обществознание</t>
        </is>
      </c>
      <c r="C75" s="4" t="inlineStr">
        <is>
          <t>ии репетитор обществознание егэ</t>
        </is>
      </c>
      <c r="D75" s="4" t="inlineStr">
        <is>
          <t>Тёплая</t>
        </is>
      </c>
      <c r="E75" s="18" t="n">
        <v>1</v>
      </c>
      <c r="F75" s="18">
        <f>LEN(TRIM(C75))-LEN(SUBSTITUTE(TRIM(C75)," ",""))+1</f>
        <v/>
      </c>
      <c r="G75" s="18">
        <f>IF(AND(F75&lt;=7,LEN(C75)&lt;=4096),"OK","ошибка")</f>
        <v/>
      </c>
      <c r="H75" s="10" t="inlineStr"/>
    </row>
    <row r="76">
      <c r="A76" s="18" t="inlineStr">
        <is>
          <t>K3</t>
        </is>
      </c>
      <c r="B76" s="4" t="inlineStr">
        <is>
          <t>ЕГЭ обществознание</t>
        </is>
      </c>
      <c r="C76" s="4" t="inlineStr">
        <is>
          <t>разбор заданий егэ обществознание</t>
        </is>
      </c>
      <c r="D76" s="4" t="inlineStr">
        <is>
          <t>Тёплая</t>
        </is>
      </c>
      <c r="E76" s="18" t="n">
        <v>1</v>
      </c>
      <c r="F76" s="18">
        <f>LEN(TRIM(C76))-LEN(SUBSTITUTE(TRIM(C76)," ",""))+1</f>
        <v/>
      </c>
      <c r="G76" s="18">
        <f>IF(AND(F76&lt;=7,LEN(C76)&lt;=4096),"OK","ошибка")</f>
        <v/>
      </c>
      <c r="H76" s="10" t="inlineStr"/>
    </row>
    <row r="77">
      <c r="A77" s="18" t="inlineStr">
        <is>
          <t>K3</t>
        </is>
      </c>
      <c r="B77" s="4" t="inlineStr">
        <is>
          <t>ЕГЭ обществознание</t>
        </is>
      </c>
      <c r="C77" s="4" t="inlineStr">
        <is>
          <t>варианты егэ обществознание онлайн</t>
        </is>
      </c>
      <c r="D77" s="4" t="inlineStr">
        <is>
          <t>Тёплая</t>
        </is>
      </c>
      <c r="E77" s="18" t="n">
        <v>1</v>
      </c>
      <c r="F77" s="18">
        <f>LEN(TRIM(C77))-LEN(SUBSTITUTE(TRIM(C77)," ",""))+1</f>
        <v/>
      </c>
      <c r="G77" s="18">
        <f>IF(AND(F77&lt;=7,LEN(C77)&lt;=4096),"OK","ошибка")</f>
        <v/>
      </c>
      <c r="H77" s="10" t="inlineStr"/>
    </row>
    <row r="78">
      <c r="A78" s="18" t="inlineStr">
        <is>
          <t>K3</t>
        </is>
      </c>
      <c r="B78" s="4" t="inlineStr">
        <is>
          <t>ЕГЭ обществознание</t>
        </is>
      </c>
      <c r="C78" s="4" t="inlineStr">
        <is>
          <t>банк заданий фипи обществознание</t>
        </is>
      </c>
      <c r="D78" s="4" t="inlineStr">
        <is>
          <t>Тёплая</t>
        </is>
      </c>
      <c r="E78" s="18" t="n">
        <v>1</v>
      </c>
      <c r="F78" s="18">
        <f>LEN(TRIM(C78))-LEN(SUBSTITUTE(TRIM(C78)," ",""))+1</f>
        <v/>
      </c>
      <c r="G78" s="18">
        <f>IF(AND(F78&lt;=7,LEN(C78)&lt;=4096),"OK","ошибка")</f>
        <v/>
      </c>
      <c r="H78" s="10" t="inlineStr"/>
    </row>
    <row r="79">
      <c r="A79" s="18" t="inlineStr">
        <is>
          <t>K3</t>
        </is>
      </c>
      <c r="B79" s="4" t="inlineStr">
        <is>
          <t>ЕГЭ обществознание</t>
        </is>
      </c>
      <c r="C79" s="4" t="inlineStr">
        <is>
          <t>пробный егэ обществознание онлайн</t>
        </is>
      </c>
      <c r="D79" s="4" t="inlineStr">
        <is>
          <t>Тёплая</t>
        </is>
      </c>
      <c r="E79" s="18" t="n">
        <v>1</v>
      </c>
      <c r="F79" s="18">
        <f>LEN(TRIM(C79))-LEN(SUBSTITUTE(TRIM(C79)," ",""))+1</f>
        <v/>
      </c>
      <c r="G79" s="18">
        <f>IF(AND(F79&lt;=7,LEN(C79)&lt;=4096),"OK","ошибка")</f>
        <v/>
      </c>
      <c r="H79" s="10" t="inlineStr"/>
    </row>
    <row r="80">
      <c r="A80" s="18" t="inlineStr">
        <is>
          <t>K3</t>
        </is>
      </c>
      <c r="B80" s="4" t="inlineStr">
        <is>
          <t>ЕГЭ обществознание</t>
        </is>
      </c>
      <c r="C80" s="4" t="inlineStr">
        <is>
          <t>егэ обществознание с нуля</t>
        </is>
      </c>
      <c r="D80" s="4" t="inlineStr">
        <is>
          <t>Тёплая</t>
        </is>
      </c>
      <c r="E80" s="18" t="n">
        <v>1</v>
      </c>
      <c r="F80" s="18">
        <f>LEN(TRIM(C80))-LEN(SUBSTITUTE(TRIM(C80)," ",""))+1</f>
        <v/>
      </c>
      <c r="G80" s="18">
        <f>IF(AND(F80&lt;=7,LEN(C80)&lt;=4096),"OK","ошибка")</f>
        <v/>
      </c>
      <c r="H80" s="10" t="inlineStr"/>
    </row>
    <row r="81">
      <c r="A81" s="18" t="inlineStr">
        <is>
          <t>K3</t>
        </is>
      </c>
      <c r="B81" s="4" t="inlineStr">
        <is>
          <t>ЕГЭ физика</t>
        </is>
      </c>
      <c r="C81" s="4" t="inlineStr">
        <is>
          <t>подготовка к егэ по физике</t>
        </is>
      </c>
      <c r="D81" s="4" t="inlineStr">
        <is>
          <t>Тёплая</t>
        </is>
      </c>
      <c r="E81" s="18" t="n">
        <v>1</v>
      </c>
      <c r="F81" s="18">
        <f>LEN(TRIM(C81))-LEN(SUBSTITUTE(TRIM(C81)," ",""))+1</f>
        <v/>
      </c>
      <c r="G81" s="18">
        <f>IF(AND(F81&lt;=7,LEN(C81)&lt;=4096),"OK","ошибка")</f>
        <v/>
      </c>
      <c r="H81" s="10" t="inlineStr"/>
    </row>
    <row r="82">
      <c r="A82" s="18" t="inlineStr">
        <is>
          <t>K3</t>
        </is>
      </c>
      <c r="B82" s="4" t="inlineStr">
        <is>
          <t>ЕГЭ физика</t>
        </is>
      </c>
      <c r="C82" s="4" t="inlineStr">
        <is>
          <t>егэ физика онлайн подготовка</t>
        </is>
      </c>
      <c r="D82" s="4" t="inlineStr">
        <is>
          <t>Тёплая</t>
        </is>
      </c>
      <c r="E82" s="18" t="n">
        <v>1</v>
      </c>
      <c r="F82" s="18">
        <f>LEN(TRIM(C82))-LEN(SUBSTITUTE(TRIM(C82)," ",""))+1</f>
        <v/>
      </c>
      <c r="G82" s="18">
        <f>IF(AND(F82&lt;=7,LEN(C82)&lt;=4096),"OK","ошибка")</f>
        <v/>
      </c>
      <c r="H82" s="10" t="inlineStr"/>
    </row>
    <row r="83">
      <c r="A83" s="18" t="inlineStr">
        <is>
          <t>K3</t>
        </is>
      </c>
      <c r="B83" s="4" t="inlineStr">
        <is>
          <t>ЕГЭ физика</t>
        </is>
      </c>
      <c r="C83" s="4" t="inlineStr">
        <is>
          <t>тренажер егэ физика</t>
        </is>
      </c>
      <c r="D83" s="4" t="inlineStr">
        <is>
          <t>Тёплая</t>
        </is>
      </c>
      <c r="E83" s="18" t="n">
        <v>1</v>
      </c>
      <c r="F83" s="18">
        <f>LEN(TRIM(C83))-LEN(SUBSTITUTE(TRIM(C83)," ",""))+1</f>
        <v/>
      </c>
      <c r="G83" s="18">
        <f>IF(AND(F83&lt;=7,LEN(C83)&lt;=4096),"OK","ошибка")</f>
        <v/>
      </c>
      <c r="H83" s="10" t="inlineStr"/>
    </row>
    <row r="84">
      <c r="A84" s="18" t="inlineStr">
        <is>
          <t>K3</t>
        </is>
      </c>
      <c r="B84" s="4" t="inlineStr">
        <is>
          <t>ЕГЭ физика</t>
        </is>
      </c>
      <c r="C84" s="4" t="inlineStr">
        <is>
          <t>задания егэ физика онлайн</t>
        </is>
      </c>
      <c r="D84" s="4" t="inlineStr">
        <is>
          <t>Тёплая</t>
        </is>
      </c>
      <c r="E84" s="18" t="n">
        <v>1</v>
      </c>
      <c r="F84" s="18">
        <f>LEN(TRIM(C84))-LEN(SUBSTITUTE(TRIM(C84)," ",""))+1</f>
        <v/>
      </c>
      <c r="G84" s="18">
        <f>IF(AND(F84&lt;=7,LEN(C84)&lt;=4096),"OK","ошибка")</f>
        <v/>
      </c>
      <c r="H84" s="10" t="inlineStr"/>
    </row>
    <row r="85">
      <c r="A85" s="18" t="inlineStr">
        <is>
          <t>K3</t>
        </is>
      </c>
      <c r="B85" s="4" t="inlineStr">
        <is>
          <t>ЕГЭ физика</t>
        </is>
      </c>
      <c r="C85" s="4" t="inlineStr">
        <is>
          <t>решать егэ физика онлайн</t>
        </is>
      </c>
      <c r="D85" s="4" t="inlineStr">
        <is>
          <t>Тёплая</t>
        </is>
      </c>
      <c r="E85" s="18" t="n">
        <v>1</v>
      </c>
      <c r="F85" s="18">
        <f>LEN(TRIM(C85))-LEN(SUBSTITUTE(TRIM(C85)," ",""))+1</f>
        <v/>
      </c>
      <c r="G85" s="18">
        <f>IF(AND(F85&lt;=7,LEN(C85)&lt;=4096),"OK","ошибка")</f>
        <v/>
      </c>
      <c r="H85" s="10" t="inlineStr"/>
    </row>
    <row r="86">
      <c r="A86" s="18" t="inlineStr">
        <is>
          <t>K3</t>
        </is>
      </c>
      <c r="B86" s="4" t="inlineStr">
        <is>
          <t>ЕГЭ физика</t>
        </is>
      </c>
      <c r="C86" s="4" t="inlineStr">
        <is>
          <t>репетитор по физике егэ онлайн</t>
        </is>
      </c>
      <c r="D86" s="4" t="inlineStr">
        <is>
          <t>Тёплая</t>
        </is>
      </c>
      <c r="E86" s="18" t="n">
        <v>1</v>
      </c>
      <c r="F86" s="18">
        <f>LEN(TRIM(C86))-LEN(SUBSTITUTE(TRIM(C86)," ",""))+1</f>
        <v/>
      </c>
      <c r="G86" s="18">
        <f>IF(AND(F86&lt;=7,LEN(C86)&lt;=4096),"OK","ошибка")</f>
        <v/>
      </c>
      <c r="H86" s="10" t="inlineStr"/>
    </row>
    <row r="87">
      <c r="A87" s="18" t="inlineStr">
        <is>
          <t>K3</t>
        </is>
      </c>
      <c r="B87" s="4" t="inlineStr">
        <is>
          <t>ЕГЭ физика</t>
        </is>
      </c>
      <c r="C87" s="4" t="inlineStr">
        <is>
          <t>ии репетитор физика егэ</t>
        </is>
      </c>
      <c r="D87" s="4" t="inlineStr">
        <is>
          <t>Тёплая</t>
        </is>
      </c>
      <c r="E87" s="18" t="n">
        <v>1</v>
      </c>
      <c r="F87" s="18">
        <f>LEN(TRIM(C87))-LEN(SUBSTITUTE(TRIM(C87)," ",""))+1</f>
        <v/>
      </c>
      <c r="G87" s="18">
        <f>IF(AND(F87&lt;=7,LEN(C87)&lt;=4096),"OK","ошибка")</f>
        <v/>
      </c>
      <c r="H87" s="10" t="inlineStr"/>
    </row>
    <row r="88">
      <c r="A88" s="18" t="inlineStr">
        <is>
          <t>K3</t>
        </is>
      </c>
      <c r="B88" s="4" t="inlineStr">
        <is>
          <t>ЕГЭ физика</t>
        </is>
      </c>
      <c r="C88" s="4" t="inlineStr">
        <is>
          <t>разбор заданий егэ физика</t>
        </is>
      </c>
      <c r="D88" s="4" t="inlineStr">
        <is>
          <t>Тёплая</t>
        </is>
      </c>
      <c r="E88" s="18" t="n">
        <v>1</v>
      </c>
      <c r="F88" s="18">
        <f>LEN(TRIM(C88))-LEN(SUBSTITUTE(TRIM(C88)," ",""))+1</f>
        <v/>
      </c>
      <c r="G88" s="18">
        <f>IF(AND(F88&lt;=7,LEN(C88)&lt;=4096),"OK","ошибка")</f>
        <v/>
      </c>
      <c r="H88" s="10" t="inlineStr"/>
    </row>
    <row r="89">
      <c r="A89" s="18" t="inlineStr">
        <is>
          <t>K3</t>
        </is>
      </c>
      <c r="B89" s="4" t="inlineStr">
        <is>
          <t>ЕГЭ физика</t>
        </is>
      </c>
      <c r="C89" s="4" t="inlineStr">
        <is>
          <t>варианты егэ физика онлайн</t>
        </is>
      </c>
      <c r="D89" s="4" t="inlineStr">
        <is>
          <t>Тёплая</t>
        </is>
      </c>
      <c r="E89" s="18" t="n">
        <v>1</v>
      </c>
      <c r="F89" s="18">
        <f>LEN(TRIM(C89))-LEN(SUBSTITUTE(TRIM(C89)," ",""))+1</f>
        <v/>
      </c>
      <c r="G89" s="18">
        <f>IF(AND(F89&lt;=7,LEN(C89)&lt;=4096),"OK","ошибка")</f>
        <v/>
      </c>
      <c r="H89" s="10" t="inlineStr"/>
    </row>
    <row r="90">
      <c r="A90" s="18" t="inlineStr">
        <is>
          <t>K3</t>
        </is>
      </c>
      <c r="B90" s="4" t="inlineStr">
        <is>
          <t>ЕГЭ физика</t>
        </is>
      </c>
      <c r="C90" s="4" t="inlineStr">
        <is>
          <t>банк заданий фипи физика</t>
        </is>
      </c>
      <c r="D90" s="4" t="inlineStr">
        <is>
          <t>Тёплая</t>
        </is>
      </c>
      <c r="E90" s="18" t="n">
        <v>1</v>
      </c>
      <c r="F90" s="18">
        <f>LEN(TRIM(C90))-LEN(SUBSTITUTE(TRIM(C90)," ",""))+1</f>
        <v/>
      </c>
      <c r="G90" s="18">
        <f>IF(AND(F90&lt;=7,LEN(C90)&lt;=4096),"OK","ошибка")</f>
        <v/>
      </c>
      <c r="H90" s="10" t="inlineStr"/>
    </row>
    <row r="91">
      <c r="A91" s="18" t="inlineStr">
        <is>
          <t>K3</t>
        </is>
      </c>
      <c r="B91" s="4" t="inlineStr">
        <is>
          <t>ЕГЭ физика</t>
        </is>
      </c>
      <c r="C91" s="4" t="inlineStr">
        <is>
          <t>пробный егэ физика онлайн</t>
        </is>
      </c>
      <c r="D91" s="4" t="inlineStr">
        <is>
          <t>Тёплая</t>
        </is>
      </c>
      <c r="E91" s="18" t="n">
        <v>1</v>
      </c>
      <c r="F91" s="18">
        <f>LEN(TRIM(C91))-LEN(SUBSTITUTE(TRIM(C91)," ",""))+1</f>
        <v/>
      </c>
      <c r="G91" s="18">
        <f>IF(AND(F91&lt;=7,LEN(C91)&lt;=4096),"OK","ошибка")</f>
        <v/>
      </c>
      <c r="H91" s="10" t="inlineStr"/>
    </row>
    <row r="92">
      <c r="A92" s="18" t="inlineStr">
        <is>
          <t>K3</t>
        </is>
      </c>
      <c r="B92" s="4" t="inlineStr">
        <is>
          <t>ЕГЭ физика</t>
        </is>
      </c>
      <c r="C92" s="4" t="inlineStr">
        <is>
          <t>егэ физика с нуля</t>
        </is>
      </c>
      <c r="D92" s="4" t="inlineStr">
        <is>
          <t>Тёплая</t>
        </is>
      </c>
      <c r="E92" s="18" t="n">
        <v>1</v>
      </c>
      <c r="F92" s="18">
        <f>LEN(TRIM(C92))-LEN(SUBSTITUTE(TRIM(C92)," ",""))+1</f>
        <v/>
      </c>
      <c r="G92" s="18">
        <f>IF(AND(F92&lt;=7,LEN(C92)&lt;=4096),"OK","ошибка")</f>
        <v/>
      </c>
      <c r="H92" s="10" t="inlineStr"/>
    </row>
    <row r="93">
      <c r="A93" s="18" t="inlineStr">
        <is>
          <t>K3</t>
        </is>
      </c>
      <c r="B93" s="4" t="inlineStr">
        <is>
          <t>ЕГЭ биология</t>
        </is>
      </c>
      <c r="C93" s="4" t="inlineStr">
        <is>
          <t>подготовка к егэ по биологии</t>
        </is>
      </c>
      <c r="D93" s="4" t="inlineStr">
        <is>
          <t>Тёплая</t>
        </is>
      </c>
      <c r="E93" s="18" t="n">
        <v>2</v>
      </c>
      <c r="F93" s="18">
        <f>LEN(TRIM(C93))-LEN(SUBSTITUTE(TRIM(C93)," ",""))+1</f>
        <v/>
      </c>
      <c r="G93" s="18">
        <f>IF(AND(F93&lt;=7,LEN(C93)&lt;=4096),"OK","ошибка")</f>
        <v/>
      </c>
      <c r="H93" s="10" t="inlineStr"/>
    </row>
    <row r="94">
      <c r="A94" s="18" t="inlineStr">
        <is>
          <t>K3</t>
        </is>
      </c>
      <c r="B94" s="4" t="inlineStr">
        <is>
          <t>ЕГЭ биология</t>
        </is>
      </c>
      <c r="C94" s="4" t="inlineStr">
        <is>
          <t>егэ биология онлайн подготовка</t>
        </is>
      </c>
      <c r="D94" s="4" t="inlineStr">
        <is>
          <t>Тёплая</t>
        </is>
      </c>
      <c r="E94" s="18" t="n">
        <v>2</v>
      </c>
      <c r="F94" s="18">
        <f>LEN(TRIM(C94))-LEN(SUBSTITUTE(TRIM(C94)," ",""))+1</f>
        <v/>
      </c>
      <c r="G94" s="18">
        <f>IF(AND(F94&lt;=7,LEN(C94)&lt;=4096),"OK","ошибка")</f>
        <v/>
      </c>
      <c r="H94" s="10" t="inlineStr"/>
    </row>
    <row r="95">
      <c r="A95" s="18" t="inlineStr">
        <is>
          <t>K3</t>
        </is>
      </c>
      <c r="B95" s="4" t="inlineStr">
        <is>
          <t>ЕГЭ биология</t>
        </is>
      </c>
      <c r="C95" s="4" t="inlineStr">
        <is>
          <t>тренажер егэ биология</t>
        </is>
      </c>
      <c r="D95" s="4" t="inlineStr">
        <is>
          <t>Тёплая</t>
        </is>
      </c>
      <c r="E95" s="18" t="n">
        <v>2</v>
      </c>
      <c r="F95" s="18">
        <f>LEN(TRIM(C95))-LEN(SUBSTITUTE(TRIM(C95)," ",""))+1</f>
        <v/>
      </c>
      <c r="G95" s="18">
        <f>IF(AND(F95&lt;=7,LEN(C95)&lt;=4096),"OK","ошибка")</f>
        <v/>
      </c>
      <c r="H95" s="10" t="inlineStr"/>
    </row>
    <row r="96">
      <c r="A96" s="18" t="inlineStr">
        <is>
          <t>K3</t>
        </is>
      </c>
      <c r="B96" s="4" t="inlineStr">
        <is>
          <t>ЕГЭ биология</t>
        </is>
      </c>
      <c r="C96" s="4" t="inlineStr">
        <is>
          <t>задания егэ биология онлайн</t>
        </is>
      </c>
      <c r="D96" s="4" t="inlineStr">
        <is>
          <t>Тёплая</t>
        </is>
      </c>
      <c r="E96" s="18" t="n">
        <v>2</v>
      </c>
      <c r="F96" s="18">
        <f>LEN(TRIM(C96))-LEN(SUBSTITUTE(TRIM(C96)," ",""))+1</f>
        <v/>
      </c>
      <c r="G96" s="18">
        <f>IF(AND(F96&lt;=7,LEN(C96)&lt;=4096),"OK","ошибка")</f>
        <v/>
      </c>
      <c r="H96" s="10" t="inlineStr"/>
    </row>
    <row r="97">
      <c r="A97" s="18" t="inlineStr">
        <is>
          <t>K3</t>
        </is>
      </c>
      <c r="B97" s="4" t="inlineStr">
        <is>
          <t>ЕГЭ биология</t>
        </is>
      </c>
      <c r="C97" s="4" t="inlineStr">
        <is>
          <t>решать егэ биология онлайн</t>
        </is>
      </c>
      <c r="D97" s="4" t="inlineStr">
        <is>
          <t>Тёплая</t>
        </is>
      </c>
      <c r="E97" s="18" t="n">
        <v>2</v>
      </c>
      <c r="F97" s="18">
        <f>LEN(TRIM(C97))-LEN(SUBSTITUTE(TRIM(C97)," ",""))+1</f>
        <v/>
      </c>
      <c r="G97" s="18">
        <f>IF(AND(F97&lt;=7,LEN(C97)&lt;=4096),"OK","ошибка")</f>
        <v/>
      </c>
      <c r="H97" s="10" t="inlineStr"/>
    </row>
    <row r="98">
      <c r="A98" s="18" t="inlineStr">
        <is>
          <t>K3</t>
        </is>
      </c>
      <c r="B98" s="4" t="inlineStr">
        <is>
          <t>ЕГЭ биология</t>
        </is>
      </c>
      <c r="C98" s="4" t="inlineStr">
        <is>
          <t>репетитор по биологии егэ онлайн</t>
        </is>
      </c>
      <c r="D98" s="4" t="inlineStr">
        <is>
          <t>Тёплая</t>
        </is>
      </c>
      <c r="E98" s="18" t="n">
        <v>2</v>
      </c>
      <c r="F98" s="18">
        <f>LEN(TRIM(C98))-LEN(SUBSTITUTE(TRIM(C98)," ",""))+1</f>
        <v/>
      </c>
      <c r="G98" s="18">
        <f>IF(AND(F98&lt;=7,LEN(C98)&lt;=4096),"OK","ошибка")</f>
        <v/>
      </c>
      <c r="H98" s="10" t="inlineStr"/>
    </row>
    <row r="99">
      <c r="A99" s="18" t="inlineStr">
        <is>
          <t>K3</t>
        </is>
      </c>
      <c r="B99" s="4" t="inlineStr">
        <is>
          <t>ЕГЭ биология</t>
        </is>
      </c>
      <c r="C99" s="4" t="inlineStr">
        <is>
          <t>ии репетитор биология егэ</t>
        </is>
      </c>
      <c r="D99" s="4" t="inlineStr">
        <is>
          <t>Тёплая</t>
        </is>
      </c>
      <c r="E99" s="18" t="n">
        <v>2</v>
      </c>
      <c r="F99" s="18">
        <f>LEN(TRIM(C99))-LEN(SUBSTITUTE(TRIM(C99)," ",""))+1</f>
        <v/>
      </c>
      <c r="G99" s="18">
        <f>IF(AND(F99&lt;=7,LEN(C99)&lt;=4096),"OK","ошибка")</f>
        <v/>
      </c>
      <c r="H99" s="10" t="inlineStr"/>
    </row>
    <row r="100">
      <c r="A100" s="18" t="inlineStr">
        <is>
          <t>K3</t>
        </is>
      </c>
      <c r="B100" s="4" t="inlineStr">
        <is>
          <t>ЕГЭ биология</t>
        </is>
      </c>
      <c r="C100" s="4" t="inlineStr">
        <is>
          <t>разбор заданий егэ биология</t>
        </is>
      </c>
      <c r="D100" s="4" t="inlineStr">
        <is>
          <t>Тёплая</t>
        </is>
      </c>
      <c r="E100" s="18" t="n">
        <v>2</v>
      </c>
      <c r="F100" s="18">
        <f>LEN(TRIM(C100))-LEN(SUBSTITUTE(TRIM(C100)," ",""))+1</f>
        <v/>
      </c>
      <c r="G100" s="18">
        <f>IF(AND(F100&lt;=7,LEN(C100)&lt;=4096),"OK","ошибка")</f>
        <v/>
      </c>
      <c r="H100" s="10" t="inlineStr"/>
    </row>
    <row r="101">
      <c r="A101" s="18" t="inlineStr">
        <is>
          <t>K3</t>
        </is>
      </c>
      <c r="B101" s="4" t="inlineStr">
        <is>
          <t>ЕГЭ биология</t>
        </is>
      </c>
      <c r="C101" s="4" t="inlineStr">
        <is>
          <t>варианты егэ биология онлайн</t>
        </is>
      </c>
      <c r="D101" s="4" t="inlineStr">
        <is>
          <t>Тёплая</t>
        </is>
      </c>
      <c r="E101" s="18" t="n">
        <v>2</v>
      </c>
      <c r="F101" s="18">
        <f>LEN(TRIM(C101))-LEN(SUBSTITUTE(TRIM(C101)," ",""))+1</f>
        <v/>
      </c>
      <c r="G101" s="18">
        <f>IF(AND(F101&lt;=7,LEN(C101)&lt;=4096),"OK","ошибка")</f>
        <v/>
      </c>
      <c r="H101" s="10" t="inlineStr"/>
    </row>
    <row r="102">
      <c r="A102" s="18" t="inlineStr">
        <is>
          <t>K3</t>
        </is>
      </c>
      <c r="B102" s="4" t="inlineStr">
        <is>
          <t>ЕГЭ биология</t>
        </is>
      </c>
      <c r="C102" s="4" t="inlineStr">
        <is>
          <t>банк заданий фипи биология</t>
        </is>
      </c>
      <c r="D102" s="4" t="inlineStr">
        <is>
          <t>Тёплая</t>
        </is>
      </c>
      <c r="E102" s="18" t="n">
        <v>2</v>
      </c>
      <c r="F102" s="18">
        <f>LEN(TRIM(C102))-LEN(SUBSTITUTE(TRIM(C102)," ",""))+1</f>
        <v/>
      </c>
      <c r="G102" s="18">
        <f>IF(AND(F102&lt;=7,LEN(C102)&lt;=4096),"OK","ошибка")</f>
        <v/>
      </c>
      <c r="H102" s="10" t="inlineStr"/>
    </row>
    <row r="103">
      <c r="A103" s="18" t="inlineStr">
        <is>
          <t>K3</t>
        </is>
      </c>
      <c r="B103" s="4" t="inlineStr">
        <is>
          <t>ЕГЭ биология</t>
        </is>
      </c>
      <c r="C103" s="4" t="inlineStr">
        <is>
          <t>пробный егэ биология онлайн</t>
        </is>
      </c>
      <c r="D103" s="4" t="inlineStr">
        <is>
          <t>Тёплая</t>
        </is>
      </c>
      <c r="E103" s="18" t="n">
        <v>2</v>
      </c>
      <c r="F103" s="18">
        <f>LEN(TRIM(C103))-LEN(SUBSTITUTE(TRIM(C103)," ",""))+1</f>
        <v/>
      </c>
      <c r="G103" s="18">
        <f>IF(AND(F103&lt;=7,LEN(C103)&lt;=4096),"OK","ошибка")</f>
        <v/>
      </c>
      <c r="H103" s="10" t="inlineStr"/>
    </row>
    <row r="104">
      <c r="A104" s="18" t="inlineStr">
        <is>
          <t>K3</t>
        </is>
      </c>
      <c r="B104" s="4" t="inlineStr">
        <is>
          <t>ЕГЭ биология</t>
        </is>
      </c>
      <c r="C104" s="4" t="inlineStr">
        <is>
          <t>егэ биология с нуля</t>
        </is>
      </c>
      <c r="D104" s="4" t="inlineStr">
        <is>
          <t>Тёплая</t>
        </is>
      </c>
      <c r="E104" s="18" t="n">
        <v>2</v>
      </c>
      <c r="F104" s="18">
        <f>LEN(TRIM(C104))-LEN(SUBSTITUTE(TRIM(C104)," ",""))+1</f>
        <v/>
      </c>
      <c r="G104" s="18">
        <f>IF(AND(F104&lt;=7,LEN(C104)&lt;=4096),"OK","ошибка")</f>
        <v/>
      </c>
      <c r="H104" s="10" t="inlineStr"/>
    </row>
    <row r="105">
      <c r="A105" s="18" t="inlineStr">
        <is>
          <t>K3</t>
        </is>
      </c>
      <c r="B105" s="4" t="inlineStr">
        <is>
          <t>ЕГЭ химия</t>
        </is>
      </c>
      <c r="C105" s="4" t="inlineStr">
        <is>
          <t>подготовка к егэ по химии</t>
        </is>
      </c>
      <c r="D105" s="4" t="inlineStr">
        <is>
          <t>Тёплая</t>
        </is>
      </c>
      <c r="E105" s="18" t="n">
        <v>2</v>
      </c>
      <c r="F105" s="18">
        <f>LEN(TRIM(C105))-LEN(SUBSTITUTE(TRIM(C105)," ",""))+1</f>
        <v/>
      </c>
      <c r="G105" s="18">
        <f>IF(AND(F105&lt;=7,LEN(C105)&lt;=4096),"OK","ошибка")</f>
        <v/>
      </c>
      <c r="H105" s="10" t="inlineStr"/>
    </row>
    <row r="106">
      <c r="A106" s="18" t="inlineStr">
        <is>
          <t>K3</t>
        </is>
      </c>
      <c r="B106" s="4" t="inlineStr">
        <is>
          <t>ЕГЭ химия</t>
        </is>
      </c>
      <c r="C106" s="4" t="inlineStr">
        <is>
          <t>егэ химия онлайн подготовка</t>
        </is>
      </c>
      <c r="D106" s="4" t="inlineStr">
        <is>
          <t>Тёплая</t>
        </is>
      </c>
      <c r="E106" s="18" t="n">
        <v>2</v>
      </c>
      <c r="F106" s="18">
        <f>LEN(TRIM(C106))-LEN(SUBSTITUTE(TRIM(C106)," ",""))+1</f>
        <v/>
      </c>
      <c r="G106" s="18">
        <f>IF(AND(F106&lt;=7,LEN(C106)&lt;=4096),"OK","ошибка")</f>
        <v/>
      </c>
      <c r="H106" s="10" t="inlineStr"/>
    </row>
    <row r="107">
      <c r="A107" s="18" t="inlineStr">
        <is>
          <t>K3</t>
        </is>
      </c>
      <c r="B107" s="4" t="inlineStr">
        <is>
          <t>ЕГЭ химия</t>
        </is>
      </c>
      <c r="C107" s="4" t="inlineStr">
        <is>
          <t>тренажер егэ химия</t>
        </is>
      </c>
      <c r="D107" s="4" t="inlineStr">
        <is>
          <t>Тёплая</t>
        </is>
      </c>
      <c r="E107" s="18" t="n">
        <v>2</v>
      </c>
      <c r="F107" s="18">
        <f>LEN(TRIM(C107))-LEN(SUBSTITUTE(TRIM(C107)," ",""))+1</f>
        <v/>
      </c>
      <c r="G107" s="18">
        <f>IF(AND(F107&lt;=7,LEN(C107)&lt;=4096),"OK","ошибка")</f>
        <v/>
      </c>
      <c r="H107" s="10" t="inlineStr"/>
    </row>
    <row r="108">
      <c r="A108" s="18" t="inlineStr">
        <is>
          <t>K3</t>
        </is>
      </c>
      <c r="B108" s="4" t="inlineStr">
        <is>
          <t>ЕГЭ химия</t>
        </is>
      </c>
      <c r="C108" s="4" t="inlineStr">
        <is>
          <t>задания егэ химия онлайн</t>
        </is>
      </c>
      <c r="D108" s="4" t="inlineStr">
        <is>
          <t>Тёплая</t>
        </is>
      </c>
      <c r="E108" s="18" t="n">
        <v>2</v>
      </c>
      <c r="F108" s="18">
        <f>LEN(TRIM(C108))-LEN(SUBSTITUTE(TRIM(C108)," ",""))+1</f>
        <v/>
      </c>
      <c r="G108" s="18">
        <f>IF(AND(F108&lt;=7,LEN(C108)&lt;=4096),"OK","ошибка")</f>
        <v/>
      </c>
      <c r="H108" s="10" t="inlineStr"/>
    </row>
    <row r="109">
      <c r="A109" s="18" t="inlineStr">
        <is>
          <t>K3</t>
        </is>
      </c>
      <c r="B109" s="4" t="inlineStr">
        <is>
          <t>ЕГЭ химия</t>
        </is>
      </c>
      <c r="C109" s="4" t="inlineStr">
        <is>
          <t>решать егэ химия онлайн</t>
        </is>
      </c>
      <c r="D109" s="4" t="inlineStr">
        <is>
          <t>Тёплая</t>
        </is>
      </c>
      <c r="E109" s="18" t="n">
        <v>2</v>
      </c>
      <c r="F109" s="18">
        <f>LEN(TRIM(C109))-LEN(SUBSTITUTE(TRIM(C109)," ",""))+1</f>
        <v/>
      </c>
      <c r="G109" s="18">
        <f>IF(AND(F109&lt;=7,LEN(C109)&lt;=4096),"OK","ошибка")</f>
        <v/>
      </c>
      <c r="H109" s="10" t="inlineStr"/>
    </row>
    <row r="110">
      <c r="A110" s="18" t="inlineStr">
        <is>
          <t>K3</t>
        </is>
      </c>
      <c r="B110" s="4" t="inlineStr">
        <is>
          <t>ЕГЭ химия</t>
        </is>
      </c>
      <c r="C110" s="4" t="inlineStr">
        <is>
          <t>репетитор по химии егэ онлайн</t>
        </is>
      </c>
      <c r="D110" s="4" t="inlineStr">
        <is>
          <t>Тёплая</t>
        </is>
      </c>
      <c r="E110" s="18" t="n">
        <v>2</v>
      </c>
      <c r="F110" s="18">
        <f>LEN(TRIM(C110))-LEN(SUBSTITUTE(TRIM(C110)," ",""))+1</f>
        <v/>
      </c>
      <c r="G110" s="18">
        <f>IF(AND(F110&lt;=7,LEN(C110)&lt;=4096),"OK","ошибка")</f>
        <v/>
      </c>
      <c r="H110" s="10" t="inlineStr"/>
    </row>
    <row r="111">
      <c r="A111" s="18" t="inlineStr">
        <is>
          <t>K3</t>
        </is>
      </c>
      <c r="B111" s="4" t="inlineStr">
        <is>
          <t>ЕГЭ химия</t>
        </is>
      </c>
      <c r="C111" s="4" t="inlineStr">
        <is>
          <t>ии репетитор химия егэ</t>
        </is>
      </c>
      <c r="D111" s="4" t="inlineStr">
        <is>
          <t>Тёплая</t>
        </is>
      </c>
      <c r="E111" s="18" t="n">
        <v>2</v>
      </c>
      <c r="F111" s="18">
        <f>LEN(TRIM(C111))-LEN(SUBSTITUTE(TRIM(C111)," ",""))+1</f>
        <v/>
      </c>
      <c r="G111" s="18">
        <f>IF(AND(F111&lt;=7,LEN(C111)&lt;=4096),"OK","ошибка")</f>
        <v/>
      </c>
      <c r="H111" s="10" t="inlineStr"/>
    </row>
    <row r="112">
      <c r="A112" s="18" t="inlineStr">
        <is>
          <t>K3</t>
        </is>
      </c>
      <c r="B112" s="4" t="inlineStr">
        <is>
          <t>ЕГЭ химия</t>
        </is>
      </c>
      <c r="C112" s="4" t="inlineStr">
        <is>
          <t>разбор заданий егэ химия</t>
        </is>
      </c>
      <c r="D112" s="4" t="inlineStr">
        <is>
          <t>Тёплая</t>
        </is>
      </c>
      <c r="E112" s="18" t="n">
        <v>2</v>
      </c>
      <c r="F112" s="18">
        <f>LEN(TRIM(C112))-LEN(SUBSTITUTE(TRIM(C112)," ",""))+1</f>
        <v/>
      </c>
      <c r="G112" s="18">
        <f>IF(AND(F112&lt;=7,LEN(C112)&lt;=4096),"OK","ошибка")</f>
        <v/>
      </c>
      <c r="H112" s="10" t="inlineStr"/>
    </row>
    <row r="113">
      <c r="A113" s="18" t="inlineStr">
        <is>
          <t>K3</t>
        </is>
      </c>
      <c r="B113" s="4" t="inlineStr">
        <is>
          <t>ЕГЭ химия</t>
        </is>
      </c>
      <c r="C113" s="4" t="inlineStr">
        <is>
          <t>варианты егэ химия онлайн</t>
        </is>
      </c>
      <c r="D113" s="4" t="inlineStr">
        <is>
          <t>Тёплая</t>
        </is>
      </c>
      <c r="E113" s="18" t="n">
        <v>2</v>
      </c>
      <c r="F113" s="18">
        <f>LEN(TRIM(C113))-LEN(SUBSTITUTE(TRIM(C113)," ",""))+1</f>
        <v/>
      </c>
      <c r="G113" s="18">
        <f>IF(AND(F113&lt;=7,LEN(C113)&lt;=4096),"OK","ошибка")</f>
        <v/>
      </c>
      <c r="H113" s="10" t="inlineStr"/>
    </row>
    <row r="114">
      <c r="A114" s="18" t="inlineStr">
        <is>
          <t>K3</t>
        </is>
      </c>
      <c r="B114" s="4" t="inlineStr">
        <is>
          <t>ЕГЭ химия</t>
        </is>
      </c>
      <c r="C114" s="4" t="inlineStr">
        <is>
          <t>банк заданий фипи химия</t>
        </is>
      </c>
      <c r="D114" s="4" t="inlineStr">
        <is>
          <t>Тёплая</t>
        </is>
      </c>
      <c r="E114" s="18" t="n">
        <v>2</v>
      </c>
      <c r="F114" s="18">
        <f>LEN(TRIM(C114))-LEN(SUBSTITUTE(TRIM(C114)," ",""))+1</f>
        <v/>
      </c>
      <c r="G114" s="18">
        <f>IF(AND(F114&lt;=7,LEN(C114)&lt;=4096),"OK","ошибка")</f>
        <v/>
      </c>
      <c r="H114" s="10" t="inlineStr"/>
    </row>
    <row r="115">
      <c r="A115" s="18" t="inlineStr">
        <is>
          <t>K3</t>
        </is>
      </c>
      <c r="B115" s="4" t="inlineStr">
        <is>
          <t>ЕГЭ химия</t>
        </is>
      </c>
      <c r="C115" s="4" t="inlineStr">
        <is>
          <t>пробный егэ химия онлайн</t>
        </is>
      </c>
      <c r="D115" s="4" t="inlineStr">
        <is>
          <t>Тёплая</t>
        </is>
      </c>
      <c r="E115" s="18" t="n">
        <v>2</v>
      </c>
      <c r="F115" s="18">
        <f>LEN(TRIM(C115))-LEN(SUBSTITUTE(TRIM(C115)," ",""))+1</f>
        <v/>
      </c>
      <c r="G115" s="18">
        <f>IF(AND(F115&lt;=7,LEN(C115)&lt;=4096),"OK","ошибка")</f>
        <v/>
      </c>
      <c r="H115" s="10" t="inlineStr"/>
    </row>
    <row r="116">
      <c r="A116" s="18" t="inlineStr">
        <is>
          <t>K3</t>
        </is>
      </c>
      <c r="B116" s="4" t="inlineStr">
        <is>
          <t>ЕГЭ химия</t>
        </is>
      </c>
      <c r="C116" s="4" t="inlineStr">
        <is>
          <t>егэ химия с нуля</t>
        </is>
      </c>
      <c r="D116" s="4" t="inlineStr">
        <is>
          <t>Тёплая</t>
        </is>
      </c>
      <c r="E116" s="18" t="n">
        <v>2</v>
      </c>
      <c r="F116" s="18">
        <f>LEN(TRIM(C116))-LEN(SUBSTITUTE(TRIM(C116)," ",""))+1</f>
        <v/>
      </c>
      <c r="G116" s="18">
        <f>IF(AND(F116&lt;=7,LEN(C116)&lt;=4096),"OK","ошибка")</f>
        <v/>
      </c>
      <c r="H116" s="10" t="inlineStr"/>
    </row>
    <row r="117">
      <c r="A117" s="18" t="inlineStr">
        <is>
          <t>K3</t>
        </is>
      </c>
      <c r="B117" s="4" t="inlineStr">
        <is>
          <t>ЕГЭ история</t>
        </is>
      </c>
      <c r="C117" s="4" t="inlineStr">
        <is>
          <t>подготовка к егэ по истории</t>
        </is>
      </c>
      <c r="D117" s="4" t="inlineStr">
        <is>
          <t>Тёплая</t>
        </is>
      </c>
      <c r="E117" s="18" t="n">
        <v>2</v>
      </c>
      <c r="F117" s="18">
        <f>LEN(TRIM(C117))-LEN(SUBSTITUTE(TRIM(C117)," ",""))+1</f>
        <v/>
      </c>
      <c r="G117" s="18">
        <f>IF(AND(F117&lt;=7,LEN(C117)&lt;=4096),"OK","ошибка")</f>
        <v/>
      </c>
      <c r="H117" s="10" t="inlineStr"/>
    </row>
    <row r="118">
      <c r="A118" s="18" t="inlineStr">
        <is>
          <t>K3</t>
        </is>
      </c>
      <c r="B118" s="4" t="inlineStr">
        <is>
          <t>ЕГЭ история</t>
        </is>
      </c>
      <c r="C118" s="4" t="inlineStr">
        <is>
          <t>егэ история онлайн подготовка</t>
        </is>
      </c>
      <c r="D118" s="4" t="inlineStr">
        <is>
          <t>Тёплая</t>
        </is>
      </c>
      <c r="E118" s="18" t="n">
        <v>2</v>
      </c>
      <c r="F118" s="18">
        <f>LEN(TRIM(C118))-LEN(SUBSTITUTE(TRIM(C118)," ",""))+1</f>
        <v/>
      </c>
      <c r="G118" s="18">
        <f>IF(AND(F118&lt;=7,LEN(C118)&lt;=4096),"OK","ошибка")</f>
        <v/>
      </c>
      <c r="H118" s="10" t="inlineStr"/>
    </row>
    <row r="119">
      <c r="A119" s="18" t="inlineStr">
        <is>
          <t>K3</t>
        </is>
      </c>
      <c r="B119" s="4" t="inlineStr">
        <is>
          <t>ЕГЭ история</t>
        </is>
      </c>
      <c r="C119" s="4" t="inlineStr">
        <is>
          <t>тренажер егэ история</t>
        </is>
      </c>
      <c r="D119" s="4" t="inlineStr">
        <is>
          <t>Тёплая</t>
        </is>
      </c>
      <c r="E119" s="18" t="n">
        <v>2</v>
      </c>
      <c r="F119" s="18">
        <f>LEN(TRIM(C119))-LEN(SUBSTITUTE(TRIM(C119)," ",""))+1</f>
        <v/>
      </c>
      <c r="G119" s="18">
        <f>IF(AND(F119&lt;=7,LEN(C119)&lt;=4096),"OK","ошибка")</f>
        <v/>
      </c>
      <c r="H119" s="10" t="inlineStr"/>
    </row>
    <row r="120">
      <c r="A120" s="18" t="inlineStr">
        <is>
          <t>K3</t>
        </is>
      </c>
      <c r="B120" s="4" t="inlineStr">
        <is>
          <t>ЕГЭ история</t>
        </is>
      </c>
      <c r="C120" s="4" t="inlineStr">
        <is>
          <t>задания егэ история онлайн</t>
        </is>
      </c>
      <c r="D120" s="4" t="inlineStr">
        <is>
          <t>Тёплая</t>
        </is>
      </c>
      <c r="E120" s="18" t="n">
        <v>2</v>
      </c>
      <c r="F120" s="18">
        <f>LEN(TRIM(C120))-LEN(SUBSTITUTE(TRIM(C120)," ",""))+1</f>
        <v/>
      </c>
      <c r="G120" s="18">
        <f>IF(AND(F120&lt;=7,LEN(C120)&lt;=4096),"OK","ошибка")</f>
        <v/>
      </c>
      <c r="H120" s="10" t="inlineStr"/>
    </row>
    <row r="121">
      <c r="A121" s="18" t="inlineStr">
        <is>
          <t>K3</t>
        </is>
      </c>
      <c r="B121" s="4" t="inlineStr">
        <is>
          <t>ЕГЭ история</t>
        </is>
      </c>
      <c r="C121" s="4" t="inlineStr">
        <is>
          <t>решать егэ история онлайн</t>
        </is>
      </c>
      <c r="D121" s="4" t="inlineStr">
        <is>
          <t>Тёплая</t>
        </is>
      </c>
      <c r="E121" s="18" t="n">
        <v>2</v>
      </c>
      <c r="F121" s="18">
        <f>LEN(TRIM(C121))-LEN(SUBSTITUTE(TRIM(C121)," ",""))+1</f>
        <v/>
      </c>
      <c r="G121" s="18">
        <f>IF(AND(F121&lt;=7,LEN(C121)&lt;=4096),"OK","ошибка")</f>
        <v/>
      </c>
      <c r="H121" s="10" t="inlineStr"/>
    </row>
    <row r="122">
      <c r="A122" s="18" t="inlineStr">
        <is>
          <t>K3</t>
        </is>
      </c>
      <c r="B122" s="4" t="inlineStr">
        <is>
          <t>ЕГЭ история</t>
        </is>
      </c>
      <c r="C122" s="4" t="inlineStr">
        <is>
          <t>репетитор по истории егэ онлайн</t>
        </is>
      </c>
      <c r="D122" s="4" t="inlineStr">
        <is>
          <t>Тёплая</t>
        </is>
      </c>
      <c r="E122" s="18" t="n">
        <v>2</v>
      </c>
      <c r="F122" s="18">
        <f>LEN(TRIM(C122))-LEN(SUBSTITUTE(TRIM(C122)," ",""))+1</f>
        <v/>
      </c>
      <c r="G122" s="18">
        <f>IF(AND(F122&lt;=7,LEN(C122)&lt;=4096),"OK","ошибка")</f>
        <v/>
      </c>
      <c r="H122" s="10" t="inlineStr"/>
    </row>
    <row r="123">
      <c r="A123" s="18" t="inlineStr">
        <is>
          <t>K3</t>
        </is>
      </c>
      <c r="B123" s="4" t="inlineStr">
        <is>
          <t>ЕГЭ история</t>
        </is>
      </c>
      <c r="C123" s="4" t="inlineStr">
        <is>
          <t>ии репетитор история егэ</t>
        </is>
      </c>
      <c r="D123" s="4" t="inlineStr">
        <is>
          <t>Тёплая</t>
        </is>
      </c>
      <c r="E123" s="18" t="n">
        <v>2</v>
      </c>
      <c r="F123" s="18">
        <f>LEN(TRIM(C123))-LEN(SUBSTITUTE(TRIM(C123)," ",""))+1</f>
        <v/>
      </c>
      <c r="G123" s="18">
        <f>IF(AND(F123&lt;=7,LEN(C123)&lt;=4096),"OK","ошибка")</f>
        <v/>
      </c>
      <c r="H123" s="10" t="inlineStr"/>
    </row>
    <row r="124">
      <c r="A124" s="18" t="inlineStr">
        <is>
          <t>K3</t>
        </is>
      </c>
      <c r="B124" s="4" t="inlineStr">
        <is>
          <t>ЕГЭ история</t>
        </is>
      </c>
      <c r="C124" s="4" t="inlineStr">
        <is>
          <t>разбор заданий егэ история</t>
        </is>
      </c>
      <c r="D124" s="4" t="inlineStr">
        <is>
          <t>Тёплая</t>
        </is>
      </c>
      <c r="E124" s="18" t="n">
        <v>2</v>
      </c>
      <c r="F124" s="18">
        <f>LEN(TRIM(C124))-LEN(SUBSTITUTE(TRIM(C124)," ",""))+1</f>
        <v/>
      </c>
      <c r="G124" s="18">
        <f>IF(AND(F124&lt;=7,LEN(C124)&lt;=4096),"OK","ошибка")</f>
        <v/>
      </c>
      <c r="H124" s="10" t="inlineStr"/>
    </row>
    <row r="125">
      <c r="A125" s="18" t="inlineStr">
        <is>
          <t>K3</t>
        </is>
      </c>
      <c r="B125" s="4" t="inlineStr">
        <is>
          <t>ЕГЭ история</t>
        </is>
      </c>
      <c r="C125" s="4" t="inlineStr">
        <is>
          <t>варианты егэ история онлайн</t>
        </is>
      </c>
      <c r="D125" s="4" t="inlineStr">
        <is>
          <t>Тёплая</t>
        </is>
      </c>
      <c r="E125" s="18" t="n">
        <v>2</v>
      </c>
      <c r="F125" s="18">
        <f>LEN(TRIM(C125))-LEN(SUBSTITUTE(TRIM(C125)," ",""))+1</f>
        <v/>
      </c>
      <c r="G125" s="18">
        <f>IF(AND(F125&lt;=7,LEN(C125)&lt;=4096),"OK","ошибка")</f>
        <v/>
      </c>
      <c r="H125" s="10" t="inlineStr"/>
    </row>
    <row r="126">
      <c r="A126" s="18" t="inlineStr">
        <is>
          <t>K3</t>
        </is>
      </c>
      <c r="B126" s="4" t="inlineStr">
        <is>
          <t>ЕГЭ история</t>
        </is>
      </c>
      <c r="C126" s="4" t="inlineStr">
        <is>
          <t>банк заданий фипи история</t>
        </is>
      </c>
      <c r="D126" s="4" t="inlineStr">
        <is>
          <t>Тёплая</t>
        </is>
      </c>
      <c r="E126" s="18" t="n">
        <v>2</v>
      </c>
      <c r="F126" s="18">
        <f>LEN(TRIM(C126))-LEN(SUBSTITUTE(TRIM(C126)," ",""))+1</f>
        <v/>
      </c>
      <c r="G126" s="18">
        <f>IF(AND(F126&lt;=7,LEN(C126)&lt;=4096),"OK","ошибка")</f>
        <v/>
      </c>
      <c r="H126" s="10" t="inlineStr"/>
    </row>
    <row r="127">
      <c r="A127" s="18" t="inlineStr">
        <is>
          <t>K3</t>
        </is>
      </c>
      <c r="B127" s="4" t="inlineStr">
        <is>
          <t>ЕГЭ история</t>
        </is>
      </c>
      <c r="C127" s="4" t="inlineStr">
        <is>
          <t>пробный егэ история онлайн</t>
        </is>
      </c>
      <c r="D127" s="4" t="inlineStr">
        <is>
          <t>Тёплая</t>
        </is>
      </c>
      <c r="E127" s="18" t="n">
        <v>2</v>
      </c>
      <c r="F127" s="18">
        <f>LEN(TRIM(C127))-LEN(SUBSTITUTE(TRIM(C127)," ",""))+1</f>
        <v/>
      </c>
      <c r="G127" s="18">
        <f>IF(AND(F127&lt;=7,LEN(C127)&lt;=4096),"OK","ошибка")</f>
        <v/>
      </c>
      <c r="H127" s="10" t="inlineStr"/>
    </row>
    <row r="128">
      <c r="A128" s="18" t="inlineStr">
        <is>
          <t>K3</t>
        </is>
      </c>
      <c r="B128" s="4" t="inlineStr">
        <is>
          <t>ЕГЭ история</t>
        </is>
      </c>
      <c r="C128" s="4" t="inlineStr">
        <is>
          <t>егэ история с нуля</t>
        </is>
      </c>
      <c r="D128" s="4" t="inlineStr">
        <is>
          <t>Тёплая</t>
        </is>
      </c>
      <c r="E128" s="18" t="n">
        <v>2</v>
      </c>
      <c r="F128" s="18">
        <f>LEN(TRIM(C128))-LEN(SUBSTITUTE(TRIM(C128)," ",""))+1</f>
        <v/>
      </c>
      <c r="G128" s="18">
        <f>IF(AND(F128&lt;=7,LEN(C128)&lt;=4096),"OK","ошибка")</f>
        <v/>
      </c>
      <c r="H128" s="10" t="inlineStr"/>
    </row>
    <row r="129">
      <c r="A129" s="18" t="inlineStr">
        <is>
          <t>K3</t>
        </is>
      </c>
      <c r="B129" s="4" t="inlineStr">
        <is>
          <t>ЕГЭ английский</t>
        </is>
      </c>
      <c r="C129" s="4" t="inlineStr">
        <is>
          <t>подготовка к егэ по английскому языку</t>
        </is>
      </c>
      <c r="D129" s="4" t="inlineStr">
        <is>
          <t>Тёплая</t>
        </is>
      </c>
      <c r="E129" s="18" t="n">
        <v>2</v>
      </c>
      <c r="F129" s="18">
        <f>LEN(TRIM(C129))-LEN(SUBSTITUTE(TRIM(C129)," ",""))+1</f>
        <v/>
      </c>
      <c r="G129" s="18">
        <f>IF(AND(F129&lt;=7,LEN(C129)&lt;=4096),"OK","ошибка")</f>
        <v/>
      </c>
      <c r="H129" s="10" t="inlineStr"/>
    </row>
    <row r="130">
      <c r="A130" s="18" t="inlineStr">
        <is>
          <t>K3</t>
        </is>
      </c>
      <c r="B130" s="4" t="inlineStr">
        <is>
          <t>ЕГЭ английский</t>
        </is>
      </c>
      <c r="C130" s="4" t="inlineStr">
        <is>
          <t>егэ английский язык онлайн подготовка</t>
        </is>
      </c>
      <c r="D130" s="4" t="inlineStr">
        <is>
          <t>Тёплая</t>
        </is>
      </c>
      <c r="E130" s="18" t="n">
        <v>2</v>
      </c>
      <c r="F130" s="18">
        <f>LEN(TRIM(C130))-LEN(SUBSTITUTE(TRIM(C130)," ",""))+1</f>
        <v/>
      </c>
      <c r="G130" s="18">
        <f>IF(AND(F130&lt;=7,LEN(C130)&lt;=4096),"OK","ошибка")</f>
        <v/>
      </c>
      <c r="H130" s="10" t="inlineStr"/>
    </row>
    <row r="131">
      <c r="A131" s="18" t="inlineStr">
        <is>
          <t>K3</t>
        </is>
      </c>
      <c r="B131" s="4" t="inlineStr">
        <is>
          <t>ЕГЭ английский</t>
        </is>
      </c>
      <c r="C131" s="4" t="inlineStr">
        <is>
          <t>тренажер егэ английский язык</t>
        </is>
      </c>
      <c r="D131" s="4" t="inlineStr">
        <is>
          <t>Тёплая</t>
        </is>
      </c>
      <c r="E131" s="18" t="n">
        <v>2</v>
      </c>
      <c r="F131" s="18">
        <f>LEN(TRIM(C131))-LEN(SUBSTITUTE(TRIM(C131)," ",""))+1</f>
        <v/>
      </c>
      <c r="G131" s="18">
        <f>IF(AND(F131&lt;=7,LEN(C131)&lt;=4096),"OK","ошибка")</f>
        <v/>
      </c>
      <c r="H131" s="10" t="inlineStr"/>
    </row>
    <row r="132">
      <c r="A132" s="18" t="inlineStr">
        <is>
          <t>K3</t>
        </is>
      </c>
      <c r="B132" s="4" t="inlineStr">
        <is>
          <t>ЕГЭ английский</t>
        </is>
      </c>
      <c r="C132" s="4" t="inlineStr">
        <is>
          <t>задания егэ английский язык онлайн</t>
        </is>
      </c>
      <c r="D132" s="4" t="inlineStr">
        <is>
          <t>Тёплая</t>
        </is>
      </c>
      <c r="E132" s="18" t="n">
        <v>2</v>
      </c>
      <c r="F132" s="18">
        <f>LEN(TRIM(C132))-LEN(SUBSTITUTE(TRIM(C132)," ",""))+1</f>
        <v/>
      </c>
      <c r="G132" s="18">
        <f>IF(AND(F132&lt;=7,LEN(C132)&lt;=4096),"OK","ошибка")</f>
        <v/>
      </c>
      <c r="H132" s="10" t="inlineStr"/>
    </row>
    <row r="133">
      <c r="A133" s="18" t="inlineStr">
        <is>
          <t>K3</t>
        </is>
      </c>
      <c r="B133" s="4" t="inlineStr">
        <is>
          <t>ЕГЭ английский</t>
        </is>
      </c>
      <c r="C133" s="4" t="inlineStr">
        <is>
          <t>решать егэ английский язык онлайн</t>
        </is>
      </c>
      <c r="D133" s="4" t="inlineStr">
        <is>
          <t>Тёплая</t>
        </is>
      </c>
      <c r="E133" s="18" t="n">
        <v>2</v>
      </c>
      <c r="F133" s="18">
        <f>LEN(TRIM(C133))-LEN(SUBSTITUTE(TRIM(C133)," ",""))+1</f>
        <v/>
      </c>
      <c r="G133" s="18">
        <f>IF(AND(F133&lt;=7,LEN(C133)&lt;=4096),"OK","ошибка")</f>
        <v/>
      </c>
      <c r="H133" s="10" t="inlineStr"/>
    </row>
    <row r="134">
      <c r="A134" s="18" t="inlineStr">
        <is>
          <t>K3</t>
        </is>
      </c>
      <c r="B134" s="4" t="inlineStr">
        <is>
          <t>ЕГЭ английский</t>
        </is>
      </c>
      <c r="C134" s="4" t="inlineStr">
        <is>
          <t>репетитор по английскому языку егэ онлайн</t>
        </is>
      </c>
      <c r="D134" s="4" t="inlineStr">
        <is>
          <t>Тёплая</t>
        </is>
      </c>
      <c r="E134" s="18" t="n">
        <v>2</v>
      </c>
      <c r="F134" s="18">
        <f>LEN(TRIM(C134))-LEN(SUBSTITUTE(TRIM(C134)," ",""))+1</f>
        <v/>
      </c>
      <c r="G134" s="18">
        <f>IF(AND(F134&lt;=7,LEN(C134)&lt;=4096),"OK","ошибка")</f>
        <v/>
      </c>
      <c r="H134" s="10" t="inlineStr"/>
    </row>
    <row r="135">
      <c r="A135" s="18" t="inlineStr">
        <is>
          <t>K3</t>
        </is>
      </c>
      <c r="B135" s="4" t="inlineStr">
        <is>
          <t>ЕГЭ английский</t>
        </is>
      </c>
      <c r="C135" s="4" t="inlineStr">
        <is>
          <t>ии репетитор английский язык егэ</t>
        </is>
      </c>
      <c r="D135" s="4" t="inlineStr">
        <is>
          <t>Тёплая</t>
        </is>
      </c>
      <c r="E135" s="18" t="n">
        <v>2</v>
      </c>
      <c r="F135" s="18">
        <f>LEN(TRIM(C135))-LEN(SUBSTITUTE(TRIM(C135)," ",""))+1</f>
        <v/>
      </c>
      <c r="G135" s="18">
        <f>IF(AND(F135&lt;=7,LEN(C135)&lt;=4096),"OK","ошибка")</f>
        <v/>
      </c>
      <c r="H135" s="10" t="inlineStr"/>
    </row>
    <row r="136">
      <c r="A136" s="18" t="inlineStr">
        <is>
          <t>K3</t>
        </is>
      </c>
      <c r="B136" s="4" t="inlineStr">
        <is>
          <t>ЕГЭ английский</t>
        </is>
      </c>
      <c r="C136" s="4" t="inlineStr">
        <is>
          <t>разбор заданий егэ английский язык</t>
        </is>
      </c>
      <c r="D136" s="4" t="inlineStr">
        <is>
          <t>Тёплая</t>
        </is>
      </c>
      <c r="E136" s="18" t="n">
        <v>2</v>
      </c>
      <c r="F136" s="18">
        <f>LEN(TRIM(C136))-LEN(SUBSTITUTE(TRIM(C136)," ",""))+1</f>
        <v/>
      </c>
      <c r="G136" s="18">
        <f>IF(AND(F136&lt;=7,LEN(C136)&lt;=4096),"OK","ошибка")</f>
        <v/>
      </c>
      <c r="H136" s="10" t="inlineStr"/>
    </row>
    <row r="137">
      <c r="A137" s="18" t="inlineStr">
        <is>
          <t>K3</t>
        </is>
      </c>
      <c r="B137" s="4" t="inlineStr">
        <is>
          <t>ЕГЭ английский</t>
        </is>
      </c>
      <c r="C137" s="4" t="inlineStr">
        <is>
          <t>варианты егэ английский язык онлайн</t>
        </is>
      </c>
      <c r="D137" s="4" t="inlineStr">
        <is>
          <t>Тёплая</t>
        </is>
      </c>
      <c r="E137" s="18" t="n">
        <v>2</v>
      </c>
      <c r="F137" s="18">
        <f>LEN(TRIM(C137))-LEN(SUBSTITUTE(TRIM(C137)," ",""))+1</f>
        <v/>
      </c>
      <c r="G137" s="18">
        <f>IF(AND(F137&lt;=7,LEN(C137)&lt;=4096),"OK","ошибка")</f>
        <v/>
      </c>
      <c r="H137" s="10" t="inlineStr"/>
    </row>
    <row r="138">
      <c r="A138" s="18" t="inlineStr">
        <is>
          <t>K3</t>
        </is>
      </c>
      <c r="B138" s="4" t="inlineStr">
        <is>
          <t>ЕГЭ английский</t>
        </is>
      </c>
      <c r="C138" s="4" t="inlineStr">
        <is>
          <t>банк заданий фипи английский язык</t>
        </is>
      </c>
      <c r="D138" s="4" t="inlineStr">
        <is>
          <t>Тёплая</t>
        </is>
      </c>
      <c r="E138" s="18" t="n">
        <v>2</v>
      </c>
      <c r="F138" s="18">
        <f>LEN(TRIM(C138))-LEN(SUBSTITUTE(TRIM(C138)," ",""))+1</f>
        <v/>
      </c>
      <c r="G138" s="18">
        <f>IF(AND(F138&lt;=7,LEN(C138)&lt;=4096),"OK","ошибка")</f>
        <v/>
      </c>
      <c r="H138" s="10" t="inlineStr"/>
    </row>
    <row r="139">
      <c r="A139" s="18" t="inlineStr">
        <is>
          <t>K3</t>
        </is>
      </c>
      <c r="B139" s="4" t="inlineStr">
        <is>
          <t>ЕГЭ английский</t>
        </is>
      </c>
      <c r="C139" s="4" t="inlineStr">
        <is>
          <t>пробный егэ английский язык онлайн</t>
        </is>
      </c>
      <c r="D139" s="4" t="inlineStr">
        <is>
          <t>Тёплая</t>
        </is>
      </c>
      <c r="E139" s="18" t="n">
        <v>2</v>
      </c>
      <c r="F139" s="18">
        <f>LEN(TRIM(C139))-LEN(SUBSTITUTE(TRIM(C139)," ",""))+1</f>
        <v/>
      </c>
      <c r="G139" s="18">
        <f>IF(AND(F139&lt;=7,LEN(C139)&lt;=4096),"OK","ошибка")</f>
        <v/>
      </c>
      <c r="H139" s="10" t="inlineStr"/>
    </row>
    <row r="140">
      <c r="A140" s="18" t="inlineStr">
        <is>
          <t>K3</t>
        </is>
      </c>
      <c r="B140" s="4" t="inlineStr">
        <is>
          <t>ЕГЭ английский</t>
        </is>
      </c>
      <c r="C140" s="4" t="inlineStr">
        <is>
          <t>егэ английский язык с нуля</t>
        </is>
      </c>
      <c r="D140" s="4" t="inlineStr">
        <is>
          <t>Тёплая</t>
        </is>
      </c>
      <c r="E140" s="18" t="n">
        <v>2</v>
      </c>
      <c r="F140" s="18">
        <f>LEN(TRIM(C140))-LEN(SUBSTITUTE(TRIM(C140)," ",""))+1</f>
        <v/>
      </c>
      <c r="G140" s="18">
        <f>IF(AND(F140&lt;=7,LEN(C140)&lt;=4096),"OK","ошибка")</f>
        <v/>
      </c>
      <c r="H140" s="10" t="inlineStr"/>
    </row>
    <row r="141">
      <c r="A141" s="18" t="inlineStr">
        <is>
          <t>K3</t>
        </is>
      </c>
      <c r="B141" s="4" t="inlineStr">
        <is>
          <t>ЕГЭ литература</t>
        </is>
      </c>
      <c r="C141" s="4" t="inlineStr">
        <is>
          <t>подготовка к егэ по литературе</t>
        </is>
      </c>
      <c r="D141" s="4" t="inlineStr">
        <is>
          <t>Тёплая</t>
        </is>
      </c>
      <c r="E141" s="18" t="n">
        <v>2</v>
      </c>
      <c r="F141" s="18">
        <f>LEN(TRIM(C141))-LEN(SUBSTITUTE(TRIM(C141)," ",""))+1</f>
        <v/>
      </c>
      <c r="G141" s="18">
        <f>IF(AND(F141&lt;=7,LEN(C141)&lt;=4096),"OK","ошибка")</f>
        <v/>
      </c>
      <c r="H141" s="10" t="inlineStr"/>
    </row>
    <row r="142">
      <c r="A142" s="18" t="inlineStr">
        <is>
          <t>K3</t>
        </is>
      </c>
      <c r="B142" s="4" t="inlineStr">
        <is>
          <t>ЕГЭ литература</t>
        </is>
      </c>
      <c r="C142" s="4" t="inlineStr">
        <is>
          <t>егэ литература онлайн подготовка</t>
        </is>
      </c>
      <c r="D142" s="4" t="inlineStr">
        <is>
          <t>Тёплая</t>
        </is>
      </c>
      <c r="E142" s="18" t="n">
        <v>2</v>
      </c>
      <c r="F142" s="18">
        <f>LEN(TRIM(C142))-LEN(SUBSTITUTE(TRIM(C142)," ",""))+1</f>
        <v/>
      </c>
      <c r="G142" s="18">
        <f>IF(AND(F142&lt;=7,LEN(C142)&lt;=4096),"OK","ошибка")</f>
        <v/>
      </c>
      <c r="H142" s="10" t="inlineStr"/>
    </row>
    <row r="143">
      <c r="A143" s="18" t="inlineStr">
        <is>
          <t>K3</t>
        </is>
      </c>
      <c r="B143" s="4" t="inlineStr">
        <is>
          <t>ЕГЭ литература</t>
        </is>
      </c>
      <c r="C143" s="4" t="inlineStr">
        <is>
          <t>тренажер егэ литература</t>
        </is>
      </c>
      <c r="D143" s="4" t="inlineStr">
        <is>
          <t>Тёплая</t>
        </is>
      </c>
      <c r="E143" s="18" t="n">
        <v>2</v>
      </c>
      <c r="F143" s="18">
        <f>LEN(TRIM(C143))-LEN(SUBSTITUTE(TRIM(C143)," ",""))+1</f>
        <v/>
      </c>
      <c r="G143" s="18">
        <f>IF(AND(F143&lt;=7,LEN(C143)&lt;=4096),"OK","ошибка")</f>
        <v/>
      </c>
      <c r="H143" s="10" t="inlineStr"/>
    </row>
    <row r="144">
      <c r="A144" s="18" t="inlineStr">
        <is>
          <t>K3</t>
        </is>
      </c>
      <c r="B144" s="4" t="inlineStr">
        <is>
          <t>ЕГЭ литература</t>
        </is>
      </c>
      <c r="C144" s="4" t="inlineStr">
        <is>
          <t>задания егэ литература онлайн</t>
        </is>
      </c>
      <c r="D144" s="4" t="inlineStr">
        <is>
          <t>Тёплая</t>
        </is>
      </c>
      <c r="E144" s="18" t="n">
        <v>2</v>
      </c>
      <c r="F144" s="18">
        <f>LEN(TRIM(C144))-LEN(SUBSTITUTE(TRIM(C144)," ",""))+1</f>
        <v/>
      </c>
      <c r="G144" s="18">
        <f>IF(AND(F144&lt;=7,LEN(C144)&lt;=4096),"OK","ошибка")</f>
        <v/>
      </c>
      <c r="H144" s="10" t="inlineStr"/>
    </row>
    <row r="145">
      <c r="A145" s="18" t="inlineStr">
        <is>
          <t>K3</t>
        </is>
      </c>
      <c r="B145" s="4" t="inlineStr">
        <is>
          <t>ЕГЭ литература</t>
        </is>
      </c>
      <c r="C145" s="4" t="inlineStr">
        <is>
          <t>решать егэ литература онлайн</t>
        </is>
      </c>
      <c r="D145" s="4" t="inlineStr">
        <is>
          <t>Тёплая</t>
        </is>
      </c>
      <c r="E145" s="18" t="n">
        <v>2</v>
      </c>
      <c r="F145" s="18">
        <f>LEN(TRIM(C145))-LEN(SUBSTITUTE(TRIM(C145)," ",""))+1</f>
        <v/>
      </c>
      <c r="G145" s="18">
        <f>IF(AND(F145&lt;=7,LEN(C145)&lt;=4096),"OK","ошибка")</f>
        <v/>
      </c>
      <c r="H145" s="10" t="inlineStr"/>
    </row>
    <row r="146">
      <c r="A146" s="18" t="inlineStr">
        <is>
          <t>K3</t>
        </is>
      </c>
      <c r="B146" s="4" t="inlineStr">
        <is>
          <t>ЕГЭ литература</t>
        </is>
      </c>
      <c r="C146" s="4" t="inlineStr">
        <is>
          <t>репетитор по литературе егэ онлайн</t>
        </is>
      </c>
      <c r="D146" s="4" t="inlineStr">
        <is>
          <t>Тёплая</t>
        </is>
      </c>
      <c r="E146" s="18" t="n">
        <v>2</v>
      </c>
      <c r="F146" s="18">
        <f>LEN(TRIM(C146))-LEN(SUBSTITUTE(TRIM(C146)," ",""))+1</f>
        <v/>
      </c>
      <c r="G146" s="18">
        <f>IF(AND(F146&lt;=7,LEN(C146)&lt;=4096),"OK","ошибка")</f>
        <v/>
      </c>
      <c r="H146" s="10" t="inlineStr"/>
    </row>
    <row r="147">
      <c r="A147" s="18" t="inlineStr">
        <is>
          <t>K3</t>
        </is>
      </c>
      <c r="B147" s="4" t="inlineStr">
        <is>
          <t>ЕГЭ литература</t>
        </is>
      </c>
      <c r="C147" s="4" t="inlineStr">
        <is>
          <t>ии репетитор литература егэ</t>
        </is>
      </c>
      <c r="D147" s="4" t="inlineStr">
        <is>
          <t>Тёплая</t>
        </is>
      </c>
      <c r="E147" s="18" t="n">
        <v>2</v>
      </c>
      <c r="F147" s="18">
        <f>LEN(TRIM(C147))-LEN(SUBSTITUTE(TRIM(C147)," ",""))+1</f>
        <v/>
      </c>
      <c r="G147" s="18">
        <f>IF(AND(F147&lt;=7,LEN(C147)&lt;=4096),"OK","ошибка")</f>
        <v/>
      </c>
      <c r="H147" s="10" t="inlineStr"/>
    </row>
    <row r="148">
      <c r="A148" s="18" t="inlineStr">
        <is>
          <t>K3</t>
        </is>
      </c>
      <c r="B148" s="4" t="inlineStr">
        <is>
          <t>ЕГЭ литература</t>
        </is>
      </c>
      <c r="C148" s="4" t="inlineStr">
        <is>
          <t>разбор заданий егэ литература</t>
        </is>
      </c>
      <c r="D148" s="4" t="inlineStr">
        <is>
          <t>Тёплая</t>
        </is>
      </c>
      <c r="E148" s="18" t="n">
        <v>2</v>
      </c>
      <c r="F148" s="18">
        <f>LEN(TRIM(C148))-LEN(SUBSTITUTE(TRIM(C148)," ",""))+1</f>
        <v/>
      </c>
      <c r="G148" s="18">
        <f>IF(AND(F148&lt;=7,LEN(C148)&lt;=4096),"OK","ошибка")</f>
        <v/>
      </c>
      <c r="H148" s="10" t="inlineStr"/>
    </row>
    <row r="149">
      <c r="A149" s="18" t="inlineStr">
        <is>
          <t>K3</t>
        </is>
      </c>
      <c r="B149" s="4" t="inlineStr">
        <is>
          <t>ЕГЭ литература</t>
        </is>
      </c>
      <c r="C149" s="4" t="inlineStr">
        <is>
          <t>варианты егэ литература онлайн</t>
        </is>
      </c>
      <c r="D149" s="4" t="inlineStr">
        <is>
          <t>Тёплая</t>
        </is>
      </c>
      <c r="E149" s="18" t="n">
        <v>2</v>
      </c>
      <c r="F149" s="18">
        <f>LEN(TRIM(C149))-LEN(SUBSTITUTE(TRIM(C149)," ",""))+1</f>
        <v/>
      </c>
      <c r="G149" s="18">
        <f>IF(AND(F149&lt;=7,LEN(C149)&lt;=4096),"OK","ошибка")</f>
        <v/>
      </c>
      <c r="H149" s="10" t="inlineStr"/>
    </row>
    <row r="150">
      <c r="A150" s="18" t="inlineStr">
        <is>
          <t>K3</t>
        </is>
      </c>
      <c r="B150" s="4" t="inlineStr">
        <is>
          <t>ЕГЭ литература</t>
        </is>
      </c>
      <c r="C150" s="4" t="inlineStr">
        <is>
          <t>банк заданий фипи литература</t>
        </is>
      </c>
      <c r="D150" s="4" t="inlineStr">
        <is>
          <t>Тёплая</t>
        </is>
      </c>
      <c r="E150" s="18" t="n">
        <v>2</v>
      </c>
      <c r="F150" s="18">
        <f>LEN(TRIM(C150))-LEN(SUBSTITUTE(TRIM(C150)," ",""))+1</f>
        <v/>
      </c>
      <c r="G150" s="18">
        <f>IF(AND(F150&lt;=7,LEN(C150)&lt;=4096),"OK","ошибка")</f>
        <v/>
      </c>
      <c r="H150" s="10" t="inlineStr"/>
    </row>
    <row r="151">
      <c r="A151" s="18" t="inlineStr">
        <is>
          <t>K3</t>
        </is>
      </c>
      <c r="B151" s="4" t="inlineStr">
        <is>
          <t>ЕГЭ литература</t>
        </is>
      </c>
      <c r="C151" s="4" t="inlineStr">
        <is>
          <t>пробный егэ литература онлайн</t>
        </is>
      </c>
      <c r="D151" s="4" t="inlineStr">
        <is>
          <t>Тёплая</t>
        </is>
      </c>
      <c r="E151" s="18" t="n">
        <v>2</v>
      </c>
      <c r="F151" s="18">
        <f>LEN(TRIM(C151))-LEN(SUBSTITUTE(TRIM(C151)," ",""))+1</f>
        <v/>
      </c>
      <c r="G151" s="18">
        <f>IF(AND(F151&lt;=7,LEN(C151)&lt;=4096),"OK","ошибка")</f>
        <v/>
      </c>
      <c r="H151" s="10" t="inlineStr"/>
    </row>
    <row r="152">
      <c r="A152" s="18" t="inlineStr">
        <is>
          <t>K3</t>
        </is>
      </c>
      <c r="B152" s="4" t="inlineStr">
        <is>
          <t>ЕГЭ литература</t>
        </is>
      </c>
      <c r="C152" s="4" t="inlineStr">
        <is>
          <t>егэ литература с нуля</t>
        </is>
      </c>
      <c r="D152" s="4" t="inlineStr">
        <is>
          <t>Тёплая</t>
        </is>
      </c>
      <c r="E152" s="18" t="n">
        <v>2</v>
      </c>
      <c r="F152" s="18">
        <f>LEN(TRIM(C152))-LEN(SUBSTITUTE(TRIM(C152)," ",""))+1</f>
        <v/>
      </c>
      <c r="G152" s="18">
        <f>IF(AND(F152&lt;=7,LEN(C152)&lt;=4096),"OK","ошибка")</f>
        <v/>
      </c>
      <c r="H152" s="10" t="inlineStr"/>
    </row>
    <row r="153">
      <c r="A153" s="18" t="inlineStr">
        <is>
          <t>K3</t>
        </is>
      </c>
      <c r="B153" s="4" t="inlineStr">
        <is>
          <t>ЕГЭ география</t>
        </is>
      </c>
      <c r="C153" s="4" t="inlineStr">
        <is>
          <t>подготовка к егэ по географии</t>
        </is>
      </c>
      <c r="D153" s="4" t="inlineStr">
        <is>
          <t>Тёплая</t>
        </is>
      </c>
      <c r="E153" s="18" t="n">
        <v>2</v>
      </c>
      <c r="F153" s="18">
        <f>LEN(TRIM(C153))-LEN(SUBSTITUTE(TRIM(C153)," ",""))+1</f>
        <v/>
      </c>
      <c r="G153" s="18">
        <f>IF(AND(F153&lt;=7,LEN(C153)&lt;=4096),"OK","ошибка")</f>
        <v/>
      </c>
      <c r="H153" s="10" t="inlineStr"/>
    </row>
    <row r="154">
      <c r="A154" s="18" t="inlineStr">
        <is>
          <t>K3</t>
        </is>
      </c>
      <c r="B154" s="4" t="inlineStr">
        <is>
          <t>ЕГЭ география</t>
        </is>
      </c>
      <c r="C154" s="4" t="inlineStr">
        <is>
          <t>егэ география онлайн подготовка</t>
        </is>
      </c>
      <c r="D154" s="4" t="inlineStr">
        <is>
          <t>Тёплая</t>
        </is>
      </c>
      <c r="E154" s="18" t="n">
        <v>2</v>
      </c>
      <c r="F154" s="18">
        <f>LEN(TRIM(C154))-LEN(SUBSTITUTE(TRIM(C154)," ",""))+1</f>
        <v/>
      </c>
      <c r="G154" s="18">
        <f>IF(AND(F154&lt;=7,LEN(C154)&lt;=4096),"OK","ошибка")</f>
        <v/>
      </c>
      <c r="H154" s="10" t="inlineStr"/>
    </row>
    <row r="155">
      <c r="A155" s="18" t="inlineStr">
        <is>
          <t>K3</t>
        </is>
      </c>
      <c r="B155" s="4" t="inlineStr">
        <is>
          <t>ЕГЭ география</t>
        </is>
      </c>
      <c r="C155" s="4" t="inlineStr">
        <is>
          <t>тренажер егэ география</t>
        </is>
      </c>
      <c r="D155" s="4" t="inlineStr">
        <is>
          <t>Тёплая</t>
        </is>
      </c>
      <c r="E155" s="18" t="n">
        <v>2</v>
      </c>
      <c r="F155" s="18">
        <f>LEN(TRIM(C155))-LEN(SUBSTITUTE(TRIM(C155)," ",""))+1</f>
        <v/>
      </c>
      <c r="G155" s="18">
        <f>IF(AND(F155&lt;=7,LEN(C155)&lt;=4096),"OK","ошибка")</f>
        <v/>
      </c>
      <c r="H155" s="10" t="inlineStr"/>
    </row>
    <row r="156">
      <c r="A156" s="18" t="inlineStr">
        <is>
          <t>K3</t>
        </is>
      </c>
      <c r="B156" s="4" t="inlineStr">
        <is>
          <t>ЕГЭ география</t>
        </is>
      </c>
      <c r="C156" s="4" t="inlineStr">
        <is>
          <t>задания егэ география онлайн</t>
        </is>
      </c>
      <c r="D156" s="4" t="inlineStr">
        <is>
          <t>Тёплая</t>
        </is>
      </c>
      <c r="E156" s="18" t="n">
        <v>2</v>
      </c>
      <c r="F156" s="18">
        <f>LEN(TRIM(C156))-LEN(SUBSTITUTE(TRIM(C156)," ",""))+1</f>
        <v/>
      </c>
      <c r="G156" s="18">
        <f>IF(AND(F156&lt;=7,LEN(C156)&lt;=4096),"OK","ошибка")</f>
        <v/>
      </c>
      <c r="H156" s="10" t="inlineStr"/>
    </row>
    <row r="157">
      <c r="A157" s="18" t="inlineStr">
        <is>
          <t>K3</t>
        </is>
      </c>
      <c r="B157" s="4" t="inlineStr">
        <is>
          <t>ЕГЭ география</t>
        </is>
      </c>
      <c r="C157" s="4" t="inlineStr">
        <is>
          <t>решать егэ география онлайн</t>
        </is>
      </c>
      <c r="D157" s="4" t="inlineStr">
        <is>
          <t>Тёплая</t>
        </is>
      </c>
      <c r="E157" s="18" t="n">
        <v>2</v>
      </c>
      <c r="F157" s="18">
        <f>LEN(TRIM(C157))-LEN(SUBSTITUTE(TRIM(C157)," ",""))+1</f>
        <v/>
      </c>
      <c r="G157" s="18">
        <f>IF(AND(F157&lt;=7,LEN(C157)&lt;=4096),"OK","ошибка")</f>
        <v/>
      </c>
      <c r="H157" s="10" t="inlineStr"/>
    </row>
    <row r="158">
      <c r="A158" s="18" t="inlineStr">
        <is>
          <t>K3</t>
        </is>
      </c>
      <c r="B158" s="4" t="inlineStr">
        <is>
          <t>ЕГЭ география</t>
        </is>
      </c>
      <c r="C158" s="4" t="inlineStr">
        <is>
          <t>репетитор по географии егэ онлайн</t>
        </is>
      </c>
      <c r="D158" s="4" t="inlineStr">
        <is>
          <t>Тёплая</t>
        </is>
      </c>
      <c r="E158" s="18" t="n">
        <v>2</v>
      </c>
      <c r="F158" s="18">
        <f>LEN(TRIM(C158))-LEN(SUBSTITUTE(TRIM(C158)," ",""))+1</f>
        <v/>
      </c>
      <c r="G158" s="18">
        <f>IF(AND(F158&lt;=7,LEN(C158)&lt;=4096),"OK","ошибка")</f>
        <v/>
      </c>
      <c r="H158" s="10" t="inlineStr"/>
    </row>
    <row r="159">
      <c r="A159" s="18" t="inlineStr">
        <is>
          <t>K3</t>
        </is>
      </c>
      <c r="B159" s="4" t="inlineStr">
        <is>
          <t>ЕГЭ география</t>
        </is>
      </c>
      <c r="C159" s="4" t="inlineStr">
        <is>
          <t>ии репетитор география егэ</t>
        </is>
      </c>
      <c r="D159" s="4" t="inlineStr">
        <is>
          <t>Тёплая</t>
        </is>
      </c>
      <c r="E159" s="18" t="n">
        <v>2</v>
      </c>
      <c r="F159" s="18">
        <f>LEN(TRIM(C159))-LEN(SUBSTITUTE(TRIM(C159)," ",""))+1</f>
        <v/>
      </c>
      <c r="G159" s="18">
        <f>IF(AND(F159&lt;=7,LEN(C159)&lt;=4096),"OK","ошибка")</f>
        <v/>
      </c>
      <c r="H159" s="10" t="inlineStr"/>
    </row>
    <row r="160">
      <c r="A160" s="18" t="inlineStr">
        <is>
          <t>K3</t>
        </is>
      </c>
      <c r="B160" s="4" t="inlineStr">
        <is>
          <t>ЕГЭ география</t>
        </is>
      </c>
      <c r="C160" s="4" t="inlineStr">
        <is>
          <t>разбор заданий егэ география</t>
        </is>
      </c>
      <c r="D160" s="4" t="inlineStr">
        <is>
          <t>Тёплая</t>
        </is>
      </c>
      <c r="E160" s="18" t="n">
        <v>2</v>
      </c>
      <c r="F160" s="18">
        <f>LEN(TRIM(C160))-LEN(SUBSTITUTE(TRIM(C160)," ",""))+1</f>
        <v/>
      </c>
      <c r="G160" s="18">
        <f>IF(AND(F160&lt;=7,LEN(C160)&lt;=4096),"OK","ошибка")</f>
        <v/>
      </c>
      <c r="H160" s="10" t="inlineStr"/>
    </row>
    <row r="161">
      <c r="A161" s="18" t="inlineStr">
        <is>
          <t>K3</t>
        </is>
      </c>
      <c r="B161" s="4" t="inlineStr">
        <is>
          <t>ЕГЭ география</t>
        </is>
      </c>
      <c r="C161" s="4" t="inlineStr">
        <is>
          <t>варианты егэ география онлайн</t>
        </is>
      </c>
      <c r="D161" s="4" t="inlineStr">
        <is>
          <t>Тёплая</t>
        </is>
      </c>
      <c r="E161" s="18" t="n">
        <v>2</v>
      </c>
      <c r="F161" s="18">
        <f>LEN(TRIM(C161))-LEN(SUBSTITUTE(TRIM(C161)," ",""))+1</f>
        <v/>
      </c>
      <c r="G161" s="18">
        <f>IF(AND(F161&lt;=7,LEN(C161)&lt;=4096),"OK","ошибка")</f>
        <v/>
      </c>
      <c r="H161" s="10" t="inlineStr"/>
    </row>
    <row r="162">
      <c r="A162" s="18" t="inlineStr">
        <is>
          <t>K3</t>
        </is>
      </c>
      <c r="B162" s="4" t="inlineStr">
        <is>
          <t>ЕГЭ география</t>
        </is>
      </c>
      <c r="C162" s="4" t="inlineStr">
        <is>
          <t>банк заданий фипи география</t>
        </is>
      </c>
      <c r="D162" s="4" t="inlineStr">
        <is>
          <t>Тёплая</t>
        </is>
      </c>
      <c r="E162" s="18" t="n">
        <v>2</v>
      </c>
      <c r="F162" s="18">
        <f>LEN(TRIM(C162))-LEN(SUBSTITUTE(TRIM(C162)," ",""))+1</f>
        <v/>
      </c>
      <c r="G162" s="18">
        <f>IF(AND(F162&lt;=7,LEN(C162)&lt;=4096),"OK","ошибка")</f>
        <v/>
      </c>
      <c r="H162" s="10" t="inlineStr"/>
    </row>
    <row r="163">
      <c r="A163" s="18" t="inlineStr">
        <is>
          <t>K3</t>
        </is>
      </c>
      <c r="B163" s="4" t="inlineStr">
        <is>
          <t>ЕГЭ география</t>
        </is>
      </c>
      <c r="C163" s="4" t="inlineStr">
        <is>
          <t>пробный егэ география онлайн</t>
        </is>
      </c>
      <c r="D163" s="4" t="inlineStr">
        <is>
          <t>Тёплая</t>
        </is>
      </c>
      <c r="E163" s="18" t="n">
        <v>2</v>
      </c>
      <c r="F163" s="18">
        <f>LEN(TRIM(C163))-LEN(SUBSTITUTE(TRIM(C163)," ",""))+1</f>
        <v/>
      </c>
      <c r="G163" s="18">
        <f>IF(AND(F163&lt;=7,LEN(C163)&lt;=4096),"OK","ошибка")</f>
        <v/>
      </c>
      <c r="H163" s="10" t="inlineStr"/>
    </row>
    <row r="164">
      <c r="A164" s="18" t="inlineStr">
        <is>
          <t>K3</t>
        </is>
      </c>
      <c r="B164" s="4" t="inlineStr">
        <is>
          <t>ЕГЭ география</t>
        </is>
      </c>
      <c r="C164" s="4" t="inlineStr">
        <is>
          <t>егэ география с нуля</t>
        </is>
      </c>
      <c r="D164" s="4" t="inlineStr">
        <is>
          <t>Тёплая</t>
        </is>
      </c>
      <c r="E164" s="18" t="n">
        <v>2</v>
      </c>
      <c r="F164" s="18">
        <f>LEN(TRIM(C164))-LEN(SUBSTITUTE(TRIM(C164)," ",""))+1</f>
        <v/>
      </c>
      <c r="G164" s="18">
        <f>IF(AND(F164&lt;=7,LEN(C164)&lt;=4096),"OK","ошибка")</f>
        <v/>
      </c>
      <c r="H164" s="10" t="inlineStr"/>
    </row>
    <row r="165">
      <c r="A165" s="18" t="inlineStr">
        <is>
          <t>K4</t>
        </is>
      </c>
      <c r="B165" s="4" t="inlineStr">
        <is>
          <t>Обществознание: эссе и развёрнутые ответы</t>
        </is>
      </c>
      <c r="C165" s="4" t="inlineStr">
        <is>
          <t>проверка эссе егэ обществознание</t>
        </is>
      </c>
      <c r="D165" s="4" t="inlineStr">
        <is>
          <t>Тёплая</t>
        </is>
      </c>
      <c r="E165" s="18" t="n">
        <v>2</v>
      </c>
      <c r="F165" s="18">
        <f>LEN(TRIM(C165))-LEN(SUBSTITUTE(TRIM(C165)," ",""))+1</f>
        <v/>
      </c>
      <c r="G165" s="18">
        <f>IF(AND(F165&lt;=7,LEN(C165)&lt;=4096),"OK","ошибка")</f>
        <v/>
      </c>
      <c r="H165" s="10" t="inlineStr">
        <is>
          <t>У обществознания на платформе 1 847 заданий с критериями.</t>
        </is>
      </c>
    </row>
    <row r="166">
      <c r="A166" s="18" t="inlineStr">
        <is>
          <t>K4</t>
        </is>
      </c>
      <c r="B166" s="4" t="inlineStr">
        <is>
          <t>Обществознание: эссе и развёрнутые ответы</t>
        </is>
      </c>
      <c r="C166" s="4" t="inlineStr">
        <is>
          <t>проверка эссе по обществознанию онлайн</t>
        </is>
      </c>
      <c r="D166" s="4" t="inlineStr">
        <is>
          <t>Тёплая</t>
        </is>
      </c>
      <c r="E166" s="18" t="n">
        <v>2</v>
      </c>
      <c r="F166" s="18">
        <f>LEN(TRIM(C166))-LEN(SUBSTITUTE(TRIM(C166)," ",""))+1</f>
        <v/>
      </c>
      <c r="G166" s="18">
        <f>IF(AND(F166&lt;=7,LEN(C166)&lt;=4096),"OK","ошибка")</f>
        <v/>
      </c>
      <c r="H166" s="10" t="inlineStr">
        <is>
          <t>У обществознания на платформе 1 847 заданий с критериями.</t>
        </is>
      </c>
    </row>
    <row r="167">
      <c r="A167" s="18" t="inlineStr">
        <is>
          <t>K4</t>
        </is>
      </c>
      <c r="B167" s="4" t="inlineStr">
        <is>
          <t>Обществознание: эссе и развёрнутые ответы</t>
        </is>
      </c>
      <c r="C167" s="4" t="inlineStr">
        <is>
          <t>проверить эссе егэ обществознание</t>
        </is>
      </c>
      <c r="D167" s="4" t="inlineStr">
        <is>
          <t>Тёплая</t>
        </is>
      </c>
      <c r="E167" s="18" t="n">
        <v>2</v>
      </c>
      <c r="F167" s="18">
        <f>LEN(TRIM(C167))-LEN(SUBSTITUTE(TRIM(C167)," ",""))+1</f>
        <v/>
      </c>
      <c r="G167" s="18">
        <f>IF(AND(F167&lt;=7,LEN(C167)&lt;=4096),"OK","ошибка")</f>
        <v/>
      </c>
      <c r="H167" s="10" t="inlineStr">
        <is>
          <t>У обществознания на платформе 1 847 заданий с критериями.</t>
        </is>
      </c>
    </row>
    <row r="168">
      <c r="A168" s="18" t="inlineStr">
        <is>
          <t>K4</t>
        </is>
      </c>
      <c r="B168" s="4" t="inlineStr">
        <is>
          <t>Обществознание: эссе и развёрнутые ответы</t>
        </is>
      </c>
      <c r="C168" s="4" t="inlineStr">
        <is>
          <t>эссе егэ обществознание по критериям</t>
        </is>
      </c>
      <c r="D168" s="4" t="inlineStr">
        <is>
          <t>Тёплая</t>
        </is>
      </c>
      <c r="E168" s="18" t="n">
        <v>2</v>
      </c>
      <c r="F168" s="18">
        <f>LEN(TRIM(C168))-LEN(SUBSTITUTE(TRIM(C168)," ",""))+1</f>
        <v/>
      </c>
      <c r="G168" s="18">
        <f>IF(AND(F168&lt;=7,LEN(C168)&lt;=4096),"OK","ошибка")</f>
        <v/>
      </c>
      <c r="H168" s="10" t="inlineStr">
        <is>
          <t>У обществознания на платформе 1 847 заданий с критериями.</t>
        </is>
      </c>
    </row>
    <row r="169">
      <c r="A169" s="18" t="inlineStr">
        <is>
          <t>K4</t>
        </is>
      </c>
      <c r="B169" s="4" t="inlineStr">
        <is>
          <t>Обществознание: эссе и развёрнутые ответы</t>
        </is>
      </c>
      <c r="C169" s="4" t="inlineStr">
        <is>
          <t>оценка эссе егэ обществознание</t>
        </is>
      </c>
      <c r="D169" s="4" t="inlineStr">
        <is>
          <t>Тёплая</t>
        </is>
      </c>
      <c r="E169" s="18" t="n">
        <v>2</v>
      </c>
      <c r="F169" s="18">
        <f>LEN(TRIM(C169))-LEN(SUBSTITUTE(TRIM(C169)," ",""))+1</f>
        <v/>
      </c>
      <c r="G169" s="18">
        <f>IF(AND(F169&lt;=7,LEN(C169)&lt;=4096),"OK","ошибка")</f>
        <v/>
      </c>
      <c r="H169" s="10" t="inlineStr">
        <is>
          <t>У обществознания на платформе 1 847 заданий с критериями.</t>
        </is>
      </c>
    </row>
    <row r="170">
      <c r="A170" s="18" t="inlineStr">
        <is>
          <t>K4</t>
        </is>
      </c>
      <c r="B170" s="4" t="inlineStr">
        <is>
          <t>Обществознание: эссе и развёрнутые ответы</t>
        </is>
      </c>
      <c r="C170" s="4" t="inlineStr">
        <is>
          <t>проверка развернутых ответов егэ обществознание</t>
        </is>
      </c>
      <c r="D170" s="4" t="inlineStr">
        <is>
          <t>Тёплая</t>
        </is>
      </c>
      <c r="E170" s="18" t="n">
        <v>2</v>
      </c>
      <c r="F170" s="18">
        <f>LEN(TRIM(C170))-LEN(SUBSTITUTE(TRIM(C170)," ",""))+1</f>
        <v/>
      </c>
      <c r="G170" s="18">
        <f>IF(AND(F170&lt;=7,LEN(C170)&lt;=4096),"OK","ошибка")</f>
        <v/>
      </c>
      <c r="H170" s="10" t="inlineStr">
        <is>
          <t>У обществознания на платформе 1 847 заданий с критериями.</t>
        </is>
      </c>
    </row>
    <row r="171">
      <c r="A171" s="18" t="inlineStr">
        <is>
          <t>K4</t>
        </is>
      </c>
      <c r="B171" s="4" t="inlineStr">
        <is>
          <t>Обществознание: эссе и развёрнутые ответы</t>
        </is>
      </c>
      <c r="C171" s="4" t="inlineStr">
        <is>
          <t>проверка задания 29 егэ обществознание</t>
        </is>
      </c>
      <c r="D171" s="4" t="inlineStr">
        <is>
          <t>Тёплая</t>
        </is>
      </c>
      <c r="E171" s="18" t="n">
        <v>2</v>
      </c>
      <c r="F171" s="18">
        <f>LEN(TRIM(C171))-LEN(SUBSTITUTE(TRIM(C171)," ",""))+1</f>
        <v/>
      </c>
      <c r="G171" s="18">
        <f>IF(AND(F171&lt;=7,LEN(C171)&lt;=4096),"OK","ошибка")</f>
        <v/>
      </c>
      <c r="H171" s="10" t="inlineStr">
        <is>
          <t>У обществознания на платформе 1 847 заданий с критериями.</t>
        </is>
      </c>
    </row>
    <row r="172">
      <c r="A172" s="18" t="inlineStr">
        <is>
          <t>K4</t>
        </is>
      </c>
      <c r="B172" s="4" t="inlineStr">
        <is>
          <t>Литература: сочинение</t>
        </is>
      </c>
      <c r="C172" s="4" t="inlineStr">
        <is>
          <t>проверка сочинения егэ литература</t>
        </is>
      </c>
      <c r="D172" s="4" t="inlineStr">
        <is>
          <t>Тёплая</t>
        </is>
      </c>
      <c r="E172" s="18" t="n">
        <v>2</v>
      </c>
      <c r="F172" s="18">
        <f>LEN(TRIM(C172))-LEN(SUBSTITUTE(TRIM(C172)," ",""))+1</f>
        <v/>
      </c>
      <c r="G172" s="18">
        <f>IF(AND(F172&lt;=7,LEN(C172)&lt;=4096),"OK","ошибка")</f>
        <v/>
      </c>
      <c r="H172" s="10" t="inlineStr">
        <is>
          <t>У литературы — 862 задания с критериями.</t>
        </is>
      </c>
    </row>
    <row r="173">
      <c r="A173" s="18" t="inlineStr">
        <is>
          <t>K4</t>
        </is>
      </c>
      <c r="B173" s="4" t="inlineStr">
        <is>
          <t>Литература: сочинение</t>
        </is>
      </c>
      <c r="C173" s="4" t="inlineStr">
        <is>
          <t>проверка сочинения по литературе онлайн</t>
        </is>
      </c>
      <c r="D173" s="4" t="inlineStr">
        <is>
          <t>Тёплая</t>
        </is>
      </c>
      <c r="E173" s="18" t="n">
        <v>2</v>
      </c>
      <c r="F173" s="18">
        <f>LEN(TRIM(C173))-LEN(SUBSTITUTE(TRIM(C173)," ",""))+1</f>
        <v/>
      </c>
      <c r="G173" s="18">
        <f>IF(AND(F173&lt;=7,LEN(C173)&lt;=4096),"OK","ошибка")</f>
        <v/>
      </c>
      <c r="H173" s="10" t="inlineStr">
        <is>
          <t>У литературы — 862 задания с критериями.</t>
        </is>
      </c>
    </row>
    <row r="174">
      <c r="A174" s="18" t="inlineStr">
        <is>
          <t>K4</t>
        </is>
      </c>
      <c r="B174" s="4" t="inlineStr">
        <is>
          <t>Литература: сочинение</t>
        </is>
      </c>
      <c r="C174" s="4" t="inlineStr">
        <is>
          <t>проверить сочинение егэ по литературе</t>
        </is>
      </c>
      <c r="D174" s="4" t="inlineStr">
        <is>
          <t>Тёплая</t>
        </is>
      </c>
      <c r="E174" s="18" t="n">
        <v>2</v>
      </c>
      <c r="F174" s="18">
        <f>LEN(TRIM(C174))-LEN(SUBSTITUTE(TRIM(C174)," ",""))+1</f>
        <v/>
      </c>
      <c r="G174" s="18">
        <f>IF(AND(F174&lt;=7,LEN(C174)&lt;=4096),"OK","ошибка")</f>
        <v/>
      </c>
      <c r="H174" s="10" t="inlineStr">
        <is>
          <t>У литературы — 862 задания с критериями.</t>
        </is>
      </c>
    </row>
    <row r="175">
      <c r="A175" s="18" t="inlineStr">
        <is>
          <t>K4</t>
        </is>
      </c>
      <c r="B175" s="4" t="inlineStr">
        <is>
          <t>Литература: сочинение</t>
        </is>
      </c>
      <c r="C175" s="4" t="inlineStr">
        <is>
          <t>оценка сочинения егэ литература по критериям</t>
        </is>
      </c>
      <c r="D175" s="4" t="inlineStr">
        <is>
          <t>Тёплая</t>
        </is>
      </c>
      <c r="E175" s="18" t="n">
        <v>2</v>
      </c>
      <c r="F175" s="18">
        <f>LEN(TRIM(C175))-LEN(SUBSTITUTE(TRIM(C175)," ",""))+1</f>
        <v/>
      </c>
      <c r="G175" s="18">
        <f>IF(AND(F175&lt;=7,LEN(C175)&lt;=4096),"OK","ошибка")</f>
        <v/>
      </c>
      <c r="H175" s="10" t="inlineStr">
        <is>
          <t>У литературы — 862 задания с критериями.</t>
        </is>
      </c>
    </row>
    <row r="176">
      <c r="A176" s="18" t="inlineStr">
        <is>
          <t>K4</t>
        </is>
      </c>
      <c r="B176" s="4" t="inlineStr">
        <is>
          <t>Литература: сочинение</t>
        </is>
      </c>
      <c r="C176" s="4" t="inlineStr">
        <is>
          <t>сочинение егэ литература критерии проверка</t>
        </is>
      </c>
      <c r="D176" s="4" t="inlineStr">
        <is>
          <t>Тёплая</t>
        </is>
      </c>
      <c r="E176" s="18" t="n">
        <v>2</v>
      </c>
      <c r="F176" s="18">
        <f>LEN(TRIM(C176))-LEN(SUBSTITUTE(TRIM(C176)," ",""))+1</f>
        <v/>
      </c>
      <c r="G176" s="18">
        <f>IF(AND(F176&lt;=7,LEN(C176)&lt;=4096),"OK","ошибка")</f>
        <v/>
      </c>
      <c r="H176" s="10" t="inlineStr">
        <is>
          <t>У литературы — 862 задания с критериями.</t>
        </is>
      </c>
    </row>
    <row r="177">
      <c r="A177" s="18" t="inlineStr">
        <is>
          <t>K4</t>
        </is>
      </c>
      <c r="B177" s="4" t="inlineStr">
        <is>
          <t>История: развёрнутые ответы</t>
        </is>
      </c>
      <c r="C177" s="4" t="inlineStr">
        <is>
          <t>проверка развернутых ответов егэ история</t>
        </is>
      </c>
      <c r="D177" s="4" t="inlineStr">
        <is>
          <t>Тёплая</t>
        </is>
      </c>
      <c r="E177" s="18" t="n">
        <v>2</v>
      </c>
      <c r="F177" s="18">
        <f>LEN(TRIM(C177))-LEN(SUBSTITUTE(TRIM(C177)," ",""))+1</f>
        <v/>
      </c>
      <c r="G177" s="18">
        <f>IF(AND(F177&lt;=7,LEN(C177)&lt;=4096),"OK","ошибка")</f>
        <v/>
      </c>
      <c r="H177" s="10" t="inlineStr">
        <is>
          <t>У истории — 1 105 заданий с критериями.</t>
        </is>
      </c>
    </row>
    <row r="178">
      <c r="A178" s="18" t="inlineStr">
        <is>
          <t>K4</t>
        </is>
      </c>
      <c r="B178" s="4" t="inlineStr">
        <is>
          <t>История: развёрнутые ответы</t>
        </is>
      </c>
      <c r="C178" s="4" t="inlineStr">
        <is>
          <t>проверка ответов егэ история по критериям</t>
        </is>
      </c>
      <c r="D178" s="4" t="inlineStr">
        <is>
          <t>Тёплая</t>
        </is>
      </c>
      <c r="E178" s="18" t="n">
        <v>2</v>
      </c>
      <c r="F178" s="18">
        <f>LEN(TRIM(C178))-LEN(SUBSTITUTE(TRIM(C178)," ",""))+1</f>
        <v/>
      </c>
      <c r="G178" s="18">
        <f>IF(AND(F178&lt;=7,LEN(C178)&lt;=4096),"OK","ошибка")</f>
        <v/>
      </c>
      <c r="H178" s="10" t="inlineStr">
        <is>
          <t>У истории — 1 105 заданий с критериями.</t>
        </is>
      </c>
    </row>
    <row r="179">
      <c r="A179" s="18" t="inlineStr">
        <is>
          <t>K4</t>
        </is>
      </c>
      <c r="B179" s="4" t="inlineStr">
        <is>
          <t>История: развёрнутые ответы</t>
        </is>
      </c>
      <c r="C179" s="4" t="inlineStr">
        <is>
          <t>проверить ответ егэ история онлайн</t>
        </is>
      </c>
      <c r="D179" s="4" t="inlineStr">
        <is>
          <t>Тёплая</t>
        </is>
      </c>
      <c r="E179" s="18" t="n">
        <v>2</v>
      </c>
      <c r="F179" s="18">
        <f>LEN(TRIM(C179))-LEN(SUBSTITUTE(TRIM(C179)," ",""))+1</f>
        <v/>
      </c>
      <c r="G179" s="18">
        <f>IF(AND(F179&lt;=7,LEN(C179)&lt;=4096),"OK","ошибка")</f>
        <v/>
      </c>
      <c r="H179" s="10" t="inlineStr">
        <is>
          <t>У истории — 1 105 заданий с критериями.</t>
        </is>
      </c>
    </row>
    <row r="180">
      <c r="A180" s="18" t="inlineStr">
        <is>
          <t>K4</t>
        </is>
      </c>
      <c r="B180" s="4" t="inlineStr">
        <is>
          <t>История: развёрнутые ответы</t>
        </is>
      </c>
      <c r="C180" s="4" t="inlineStr">
        <is>
          <t>оценка ответов егэ история критерии</t>
        </is>
      </c>
      <c r="D180" s="4" t="inlineStr">
        <is>
          <t>Тёплая</t>
        </is>
      </c>
      <c r="E180" s="18" t="n">
        <v>2</v>
      </c>
      <c r="F180" s="18">
        <f>LEN(TRIM(C180))-LEN(SUBSTITUTE(TRIM(C180)," ",""))+1</f>
        <v/>
      </c>
      <c r="G180" s="18">
        <f>IF(AND(F180&lt;=7,LEN(C180)&lt;=4096),"OK","ошибка")</f>
        <v/>
      </c>
      <c r="H180" s="10" t="inlineStr">
        <is>
          <t>У истории — 1 105 заданий с критериями.</t>
        </is>
      </c>
    </row>
    <row r="181">
      <c r="A181" s="18" t="inlineStr">
        <is>
          <t>K4</t>
        </is>
      </c>
      <c r="B181" s="4" t="inlineStr">
        <is>
          <t>Биология: часть 2</t>
        </is>
      </c>
      <c r="C181" s="4" t="inlineStr">
        <is>
          <t>проверка развернутых ответов егэ биология</t>
        </is>
      </c>
      <c r="D181" s="4" t="inlineStr">
        <is>
          <t>Тёплая</t>
        </is>
      </c>
      <c r="E181" s="18" t="n">
        <v>2</v>
      </c>
      <c r="F181" s="18">
        <f>LEN(TRIM(C181))-LEN(SUBSTITUTE(TRIM(C181)," ",""))+1</f>
        <v/>
      </c>
      <c r="G181" s="18">
        <f>IF(AND(F181&lt;=7,LEN(C181)&lt;=4096),"OK","ошибка")</f>
        <v/>
      </c>
      <c r="H181" s="10" t="inlineStr">
        <is>
          <t>У биологии — 2 605 заданий с критериями.</t>
        </is>
      </c>
    </row>
    <row r="182">
      <c r="A182" s="18" t="inlineStr">
        <is>
          <t>K4</t>
        </is>
      </c>
      <c r="B182" s="4" t="inlineStr">
        <is>
          <t>Биология: часть 2</t>
        </is>
      </c>
      <c r="C182" s="4" t="inlineStr">
        <is>
          <t>проверка второй части егэ биология</t>
        </is>
      </c>
      <c r="D182" s="4" t="inlineStr">
        <is>
          <t>Тёплая</t>
        </is>
      </c>
      <c r="E182" s="18" t="n">
        <v>2</v>
      </c>
      <c r="F182" s="18">
        <f>LEN(TRIM(C182))-LEN(SUBSTITUTE(TRIM(C182)," ",""))+1</f>
        <v/>
      </c>
      <c r="G182" s="18">
        <f>IF(AND(F182&lt;=7,LEN(C182)&lt;=4096),"OK","ошибка")</f>
        <v/>
      </c>
      <c r="H182" s="10" t="inlineStr">
        <is>
          <t>У биологии — 2 605 заданий с критериями.</t>
        </is>
      </c>
    </row>
    <row r="183">
      <c r="A183" s="18" t="inlineStr">
        <is>
          <t>K4</t>
        </is>
      </c>
      <c r="B183" s="4" t="inlineStr">
        <is>
          <t>Биология: часть 2</t>
        </is>
      </c>
      <c r="C183" s="4" t="inlineStr">
        <is>
          <t>проверить ответ егэ биология онлайн</t>
        </is>
      </c>
      <c r="D183" s="4" t="inlineStr">
        <is>
          <t>Тёплая</t>
        </is>
      </c>
      <c r="E183" s="18" t="n">
        <v>2</v>
      </c>
      <c r="F183" s="18">
        <f>LEN(TRIM(C183))-LEN(SUBSTITUTE(TRIM(C183)," ",""))+1</f>
        <v/>
      </c>
      <c r="G183" s="18">
        <f>IF(AND(F183&lt;=7,LEN(C183)&lt;=4096),"OK","ошибка")</f>
        <v/>
      </c>
      <c r="H183" s="10" t="inlineStr">
        <is>
          <t>У биологии — 2 605 заданий с критериями.</t>
        </is>
      </c>
    </row>
    <row r="184">
      <c r="A184" s="18" t="inlineStr">
        <is>
          <t>K4</t>
        </is>
      </c>
      <c r="B184" s="4" t="inlineStr">
        <is>
          <t>Биология: часть 2</t>
        </is>
      </c>
      <c r="C184" s="4" t="inlineStr">
        <is>
          <t>оценка ответов егэ биология по критериям</t>
        </is>
      </c>
      <c r="D184" s="4" t="inlineStr">
        <is>
          <t>Тёплая</t>
        </is>
      </c>
      <c r="E184" s="18" t="n">
        <v>2</v>
      </c>
      <c r="F184" s="18">
        <f>LEN(TRIM(C184))-LEN(SUBSTITUTE(TRIM(C184)," ",""))+1</f>
        <v/>
      </c>
      <c r="G184" s="18">
        <f>IF(AND(F184&lt;=7,LEN(C184)&lt;=4096),"OK","ошибка")</f>
        <v/>
      </c>
      <c r="H184" s="10" t="inlineStr">
        <is>
          <t>У биологии — 2 605 заданий с критериями.</t>
        </is>
      </c>
    </row>
    <row r="185">
      <c r="A185" s="18" t="inlineStr">
        <is>
          <t>K4</t>
        </is>
      </c>
      <c r="B185" s="4" t="inlineStr">
        <is>
          <t>Биология: часть 2</t>
        </is>
      </c>
      <c r="C185" s="4" t="inlineStr">
        <is>
          <t>проверка заданий второй части егэ биология</t>
        </is>
      </c>
      <c r="D185" s="4" t="inlineStr">
        <is>
          <t>Тёплая</t>
        </is>
      </c>
      <c r="E185" s="18" t="n">
        <v>2</v>
      </c>
      <c r="F185" s="18">
        <f>LEN(TRIM(C185))-LEN(SUBSTITUTE(TRIM(C185)," ",""))+1</f>
        <v/>
      </c>
      <c r="G185" s="18">
        <f>IF(AND(F185&lt;=7,LEN(C185)&lt;=4096),"OK","ошибка")</f>
        <v/>
      </c>
      <c r="H185" s="10" t="inlineStr">
        <is>
          <t>У биологии — 2 605 заданий с критериями.</t>
        </is>
      </c>
    </row>
    <row r="186">
      <c r="A186" s="18" t="inlineStr">
        <is>
          <t>K5</t>
        </is>
      </c>
      <c r="B186" s="4" t="inlineStr">
        <is>
          <t>Цена и стоимость</t>
        </is>
      </c>
      <c r="C186" s="4" t="inlineStr">
        <is>
          <t>сколько стоит репетитор по егэ</t>
        </is>
      </c>
      <c r="D186" s="4" t="inlineStr">
        <is>
          <t>Родители</t>
        </is>
      </c>
      <c r="E186" s="18" t="n">
        <v>2</v>
      </c>
      <c r="F186" s="18">
        <f>LEN(TRIM(C186))-LEN(SUBSTITUTE(TRIM(C186)," ",""))+1</f>
        <v/>
      </c>
      <c r="G186" s="18">
        <f>IF(AND(F186&lt;=7,LEN(C186)&lt;=4096),"OK","ошибка")</f>
        <v/>
      </c>
      <c r="H186" s="10" t="inlineStr"/>
    </row>
    <row r="187">
      <c r="A187" s="18" t="inlineStr">
        <is>
          <t>K5</t>
        </is>
      </c>
      <c r="B187" s="4" t="inlineStr">
        <is>
          <t>Цена и стоимость</t>
        </is>
      </c>
      <c r="C187" s="4" t="inlineStr">
        <is>
          <t>репетитор по егэ цена</t>
        </is>
      </c>
      <c r="D187" s="4" t="inlineStr">
        <is>
          <t>Родители</t>
        </is>
      </c>
      <c r="E187" s="18" t="n">
        <v>2</v>
      </c>
      <c r="F187" s="18">
        <f>LEN(TRIM(C187))-LEN(SUBSTITUTE(TRIM(C187)," ",""))+1</f>
        <v/>
      </c>
      <c r="G187" s="18">
        <f>IF(AND(F187&lt;=7,LEN(C187)&lt;=4096),"OK","ошибка")</f>
        <v/>
      </c>
      <c r="H187" s="10" t="inlineStr"/>
    </row>
    <row r="188">
      <c r="A188" s="18" t="inlineStr">
        <is>
          <t>K5</t>
        </is>
      </c>
      <c r="B188" s="4" t="inlineStr">
        <is>
          <t>Цена и стоимость</t>
        </is>
      </c>
      <c r="C188" s="4" t="inlineStr">
        <is>
          <t>стоимость репетитора егэ онлайн</t>
        </is>
      </c>
      <c r="D188" s="4" t="inlineStr">
        <is>
          <t>Родители</t>
        </is>
      </c>
      <c r="E188" s="18" t="n">
        <v>2</v>
      </c>
      <c r="F188" s="18">
        <f>LEN(TRIM(C188))-LEN(SUBSTITUTE(TRIM(C188)," ",""))+1</f>
        <v/>
      </c>
      <c r="G188" s="18">
        <f>IF(AND(F188&lt;=7,LEN(C188)&lt;=4096),"OK","ошибка")</f>
        <v/>
      </c>
      <c r="H188" s="10" t="inlineStr"/>
    </row>
    <row r="189">
      <c r="A189" s="18" t="inlineStr">
        <is>
          <t>K5</t>
        </is>
      </c>
      <c r="B189" s="4" t="inlineStr">
        <is>
          <t>Цена и стоимость</t>
        </is>
      </c>
      <c r="C189" s="4" t="inlineStr">
        <is>
          <t>репетитор егэ онлайн цена за час</t>
        </is>
      </c>
      <c r="D189" s="4" t="inlineStr">
        <is>
          <t>Родители</t>
        </is>
      </c>
      <c r="E189" s="18" t="n">
        <v>2</v>
      </c>
      <c r="F189" s="18">
        <f>LEN(TRIM(C189))-LEN(SUBSTITUTE(TRIM(C189)," ",""))+1</f>
        <v/>
      </c>
      <c r="G189" s="18">
        <f>IF(AND(F189&lt;=7,LEN(C189)&lt;=4096),"OK","ошибка")</f>
        <v/>
      </c>
      <c r="H189" s="10" t="inlineStr"/>
    </row>
    <row r="190">
      <c r="A190" s="18" t="inlineStr">
        <is>
          <t>K5</t>
        </is>
      </c>
      <c r="B190" s="4" t="inlineStr">
        <is>
          <t>Цена и стоимость</t>
        </is>
      </c>
      <c r="C190" s="4" t="inlineStr">
        <is>
          <t>репетитор по егэ недорого</t>
        </is>
      </c>
      <c r="D190" s="4" t="inlineStr">
        <is>
          <t>Родители</t>
        </is>
      </c>
      <c r="E190" s="18" t="n">
        <v>2</v>
      </c>
      <c r="F190" s="18">
        <f>LEN(TRIM(C190))-LEN(SUBSTITUTE(TRIM(C190)," ",""))+1</f>
        <v/>
      </c>
      <c r="G190" s="18">
        <f>IF(AND(F190&lt;=7,LEN(C190)&lt;=4096),"OK","ошибка")</f>
        <v/>
      </c>
      <c r="H190" s="10" t="inlineStr"/>
    </row>
    <row r="191">
      <c r="A191" s="18" t="inlineStr">
        <is>
          <t>K5</t>
        </is>
      </c>
      <c r="B191" s="4" t="inlineStr">
        <is>
          <t>Цена и стоимость</t>
        </is>
      </c>
      <c r="C191" s="4" t="inlineStr">
        <is>
          <t>недорогой репетитор егэ онлайн</t>
        </is>
      </c>
      <c r="D191" s="4" t="inlineStr">
        <is>
          <t>Родители</t>
        </is>
      </c>
      <c r="E191" s="18" t="n">
        <v>2</v>
      </c>
      <c r="F191" s="18">
        <f>LEN(TRIM(C191))-LEN(SUBSTITUTE(TRIM(C191)," ",""))+1</f>
        <v/>
      </c>
      <c r="G191" s="18">
        <f>IF(AND(F191&lt;=7,LEN(C191)&lt;=4096),"OK","ошибка")</f>
        <v/>
      </c>
      <c r="H191" s="10" t="inlineStr"/>
    </row>
    <row r="192">
      <c r="A192" s="18" t="inlineStr">
        <is>
          <t>K5</t>
        </is>
      </c>
      <c r="B192" s="4" t="inlineStr">
        <is>
          <t>Цена и стоимость</t>
        </is>
      </c>
      <c r="C192" s="4" t="inlineStr">
        <is>
          <t>подготовка к егэ цена</t>
        </is>
      </c>
      <c r="D192" s="4" t="inlineStr">
        <is>
          <t>Родители</t>
        </is>
      </c>
      <c r="E192" s="18" t="n">
        <v>2</v>
      </c>
      <c r="F192" s="18">
        <f>LEN(TRIM(C192))-LEN(SUBSTITUTE(TRIM(C192)," ",""))+1</f>
        <v/>
      </c>
      <c r="G192" s="18">
        <f>IF(AND(F192&lt;=7,LEN(C192)&lt;=4096),"OK","ошибка")</f>
        <v/>
      </c>
      <c r="H192" s="10" t="inlineStr"/>
    </row>
    <row r="193">
      <c r="A193" s="18" t="inlineStr">
        <is>
          <t>K5</t>
        </is>
      </c>
      <c r="B193" s="4" t="inlineStr">
        <is>
          <t>Цена и стоимость</t>
        </is>
      </c>
      <c r="C193" s="4" t="inlineStr">
        <is>
          <t>стоимость подготовки к егэ</t>
        </is>
      </c>
      <c r="D193" s="4" t="inlineStr">
        <is>
          <t>Родители</t>
        </is>
      </c>
      <c r="E193" s="18" t="n">
        <v>2</v>
      </c>
      <c r="F193" s="18">
        <f>LEN(TRIM(C193))-LEN(SUBSTITUTE(TRIM(C193)," ",""))+1</f>
        <v/>
      </c>
      <c r="G193" s="18">
        <f>IF(AND(F193&lt;=7,LEN(C193)&lt;=4096),"OK","ошибка")</f>
        <v/>
      </c>
      <c r="H193" s="10" t="inlineStr"/>
    </row>
    <row r="194">
      <c r="A194" s="18" t="inlineStr">
        <is>
          <t>K5</t>
        </is>
      </c>
      <c r="B194" s="4" t="inlineStr">
        <is>
          <t>Цена и стоимость</t>
        </is>
      </c>
      <c r="C194" s="4" t="inlineStr">
        <is>
          <t>сколько стоит подготовка к егэ</t>
        </is>
      </c>
      <c r="D194" s="4" t="inlineStr">
        <is>
          <t>Родители</t>
        </is>
      </c>
      <c r="E194" s="18" t="n">
        <v>2</v>
      </c>
      <c r="F194" s="18">
        <f>LEN(TRIM(C194))-LEN(SUBSTITUTE(TRIM(C194)," ",""))+1</f>
        <v/>
      </c>
      <c r="G194" s="18">
        <f>IF(AND(F194&lt;=7,LEN(C194)&lt;=4096),"OK","ошибка")</f>
        <v/>
      </c>
      <c r="H194" s="10" t="inlineStr"/>
    </row>
    <row r="195">
      <c r="A195" s="18" t="inlineStr">
        <is>
          <t>K5</t>
        </is>
      </c>
      <c r="B195" s="4" t="inlineStr">
        <is>
          <t>Выбор платформы</t>
        </is>
      </c>
      <c r="C195" s="4" t="inlineStr">
        <is>
          <t>как выбрать репетитора по егэ</t>
        </is>
      </c>
      <c r="D195" s="4" t="inlineStr">
        <is>
          <t>Родители</t>
        </is>
      </c>
      <c r="E195" s="18" t="n">
        <v>2</v>
      </c>
      <c r="F195" s="18">
        <f>LEN(TRIM(C195))-LEN(SUBSTITUTE(TRIM(C195)," ",""))+1</f>
        <v/>
      </c>
      <c r="G195" s="18">
        <f>IF(AND(F195&lt;=7,LEN(C195)&lt;=4096),"OK","ошибка")</f>
        <v/>
      </c>
      <c r="H195" s="10" t="inlineStr">
        <is>
          <t>Фразы про «отзывы» сознательно не включены: отзывов пока нет.</t>
        </is>
      </c>
    </row>
    <row r="196">
      <c r="A196" s="18" t="inlineStr">
        <is>
          <t>K5</t>
        </is>
      </c>
      <c r="B196" s="4" t="inlineStr">
        <is>
          <t>Выбор платформы</t>
        </is>
      </c>
      <c r="C196" s="4" t="inlineStr">
        <is>
          <t>какая платформа для подготовки к егэ лучше</t>
        </is>
      </c>
      <c r="D196" s="4" t="inlineStr">
        <is>
          <t>Родители</t>
        </is>
      </c>
      <c r="E196" s="18" t="n">
        <v>2</v>
      </c>
      <c r="F196" s="18">
        <f>LEN(TRIM(C196))-LEN(SUBSTITUTE(TRIM(C196)," ",""))+1</f>
        <v/>
      </c>
      <c r="G196" s="18">
        <f>IF(AND(F196&lt;=7,LEN(C196)&lt;=4096),"OK","ошибка")</f>
        <v/>
      </c>
      <c r="H196" s="10" t="inlineStr">
        <is>
          <t>Фразы про «отзывы» сознательно не включены: отзывов пока нет.</t>
        </is>
      </c>
    </row>
    <row r="197">
      <c r="A197" s="18" t="inlineStr">
        <is>
          <t>K5</t>
        </is>
      </c>
      <c r="B197" s="4" t="inlineStr">
        <is>
          <t>Выбор платформы</t>
        </is>
      </c>
      <c r="C197" s="4" t="inlineStr">
        <is>
          <t>онлайн подготовка к егэ для школьников</t>
        </is>
      </c>
      <c r="D197" s="4" t="inlineStr">
        <is>
          <t>Родители</t>
        </is>
      </c>
      <c r="E197" s="18" t="n">
        <v>2</v>
      </c>
      <c r="F197" s="18">
        <f>LEN(TRIM(C197))-LEN(SUBSTITUTE(TRIM(C197)," ",""))+1</f>
        <v/>
      </c>
      <c r="G197" s="18">
        <f>IF(AND(F197&lt;=7,LEN(C197)&lt;=4096),"OK","ошибка")</f>
        <v/>
      </c>
      <c r="H197" s="10" t="inlineStr">
        <is>
          <t>Фразы про «отзывы» сознательно не включены: отзывов пока нет.</t>
        </is>
      </c>
    </row>
    <row r="198">
      <c r="A198" s="18" t="inlineStr">
        <is>
          <t>K5</t>
        </is>
      </c>
      <c r="B198" s="4" t="inlineStr">
        <is>
          <t>Выбор платформы</t>
        </is>
      </c>
      <c r="C198" s="4" t="inlineStr">
        <is>
          <t>стоит ли заниматься с ии репетитором</t>
        </is>
      </c>
      <c r="D198" s="4" t="inlineStr">
        <is>
          <t>Родители</t>
        </is>
      </c>
      <c r="E198" s="18" t="n">
        <v>2</v>
      </c>
      <c r="F198" s="18">
        <f>LEN(TRIM(C198))-LEN(SUBSTITUTE(TRIM(C198)," ",""))+1</f>
        <v/>
      </c>
      <c r="G198" s="18">
        <f>IF(AND(F198&lt;=7,LEN(C198)&lt;=4096),"OK","ошибка")</f>
        <v/>
      </c>
      <c r="H198" s="10" t="inlineStr">
        <is>
          <t>Фразы про «отзывы» сознательно не включены: отзывов пока нет.</t>
        </is>
      </c>
    </row>
    <row r="199">
      <c r="A199" s="18" t="inlineStr">
        <is>
          <t>K5</t>
        </is>
      </c>
      <c r="B199" s="4" t="inlineStr">
        <is>
          <t>Выбор платформы</t>
        </is>
      </c>
      <c r="C199" s="4" t="inlineStr">
        <is>
          <t>ии репетитор для школьника</t>
        </is>
      </c>
      <c r="D199" s="4" t="inlineStr">
        <is>
          <t>Родители</t>
        </is>
      </c>
      <c r="E199" s="18" t="n">
        <v>2</v>
      </c>
      <c r="F199" s="18">
        <f>LEN(TRIM(C199))-LEN(SUBSTITUTE(TRIM(C199)," ",""))+1</f>
        <v/>
      </c>
      <c r="G199" s="18">
        <f>IF(AND(F199&lt;=7,LEN(C199)&lt;=4096),"OK","ошибка")</f>
        <v/>
      </c>
      <c r="H199" s="10" t="inlineStr">
        <is>
          <t>Фразы про «отзывы» сознательно не включены: отзывов пока нет.</t>
        </is>
      </c>
    </row>
    <row r="200">
      <c r="A200" s="18" t="inlineStr">
        <is>
          <t>K5</t>
        </is>
      </c>
      <c r="B200" s="4" t="inlineStr">
        <is>
          <t>Выбор платформы</t>
        </is>
      </c>
      <c r="C200" s="4" t="inlineStr">
        <is>
          <t>онлайн репетитор для школьника егэ</t>
        </is>
      </c>
      <c r="D200" s="4" t="inlineStr">
        <is>
          <t>Родители</t>
        </is>
      </c>
      <c r="E200" s="18" t="n">
        <v>2</v>
      </c>
      <c r="F200" s="18">
        <f>LEN(TRIM(C200))-LEN(SUBSTITUTE(TRIM(C200)," ",""))+1</f>
        <v/>
      </c>
      <c r="G200" s="18">
        <f>IF(AND(F200&lt;=7,LEN(C200)&lt;=4096),"OK","ошибка")</f>
        <v/>
      </c>
      <c r="H200" s="10" t="inlineStr">
        <is>
          <t>Фразы про «отзывы» сознательно не включены: отзывов пока нет.</t>
        </is>
      </c>
    </row>
    <row r="201">
      <c r="A201" s="18" t="inlineStr">
        <is>
          <t>K5</t>
        </is>
      </c>
      <c r="B201" s="4" t="inlineStr">
        <is>
          <t>Подготовка ребёнка</t>
        </is>
      </c>
      <c r="C201" s="4" t="inlineStr">
        <is>
          <t>подготовка ребенка к егэ онлайн</t>
        </is>
      </c>
      <c r="D201" s="4" t="inlineStr">
        <is>
          <t>Родители</t>
        </is>
      </c>
      <c r="E201" s="18" t="n">
        <v>2</v>
      </c>
      <c r="F201" s="18">
        <f>LEN(TRIM(C201))-LEN(SUBSTITUTE(TRIM(C201)," ",""))+1</f>
        <v/>
      </c>
      <c r="G201" s="18">
        <f>IF(AND(F201&lt;=7,LEN(C201)&lt;=4096),"OK","ошибка")</f>
        <v/>
      </c>
      <c r="H201" s="10" t="inlineStr"/>
    </row>
    <row r="202">
      <c r="A202" s="18" t="inlineStr">
        <is>
          <t>K5</t>
        </is>
      </c>
      <c r="B202" s="4" t="inlineStr">
        <is>
          <t>Подготовка ребёнка</t>
        </is>
      </c>
      <c r="C202" s="4" t="inlineStr">
        <is>
          <t>как помочь ребенку подготовиться к егэ</t>
        </is>
      </c>
      <c r="D202" s="4" t="inlineStr">
        <is>
          <t>Родители</t>
        </is>
      </c>
      <c r="E202" s="18" t="n">
        <v>2</v>
      </c>
      <c r="F202" s="18">
        <f>LEN(TRIM(C202))-LEN(SUBSTITUTE(TRIM(C202)," ",""))+1</f>
        <v/>
      </c>
      <c r="G202" s="18">
        <f>IF(AND(F202&lt;=7,LEN(C202)&lt;=4096),"OK","ошибка")</f>
        <v/>
      </c>
      <c r="H202" s="10" t="inlineStr"/>
    </row>
    <row r="203">
      <c r="A203" s="18" t="inlineStr">
        <is>
          <t>K5</t>
        </is>
      </c>
      <c r="B203" s="4" t="inlineStr">
        <is>
          <t>Подготовка ребёнка</t>
        </is>
      </c>
      <c r="C203" s="4" t="inlineStr">
        <is>
          <t>подготовка к егэ для школьника онлайн</t>
        </is>
      </c>
      <c r="D203" s="4" t="inlineStr">
        <is>
          <t>Родители</t>
        </is>
      </c>
      <c r="E203" s="18" t="n">
        <v>2</v>
      </c>
      <c r="F203" s="18">
        <f>LEN(TRIM(C203))-LEN(SUBSTITUTE(TRIM(C203)," ",""))+1</f>
        <v/>
      </c>
      <c r="G203" s="18">
        <f>IF(AND(F203&lt;=7,LEN(C203)&lt;=4096),"OK","ошибка")</f>
        <v/>
      </c>
      <c r="H203" s="10" t="inlineStr"/>
    </row>
    <row r="204">
      <c r="A204" s="18" t="inlineStr">
        <is>
          <t>K5</t>
        </is>
      </c>
      <c r="B204" s="4" t="inlineStr">
        <is>
          <t>Подготовка ребёнка</t>
        </is>
      </c>
      <c r="C204" s="4" t="inlineStr">
        <is>
          <t>занятия для подготовки к егэ дома</t>
        </is>
      </c>
      <c r="D204" s="4" t="inlineStr">
        <is>
          <t>Родители</t>
        </is>
      </c>
      <c r="E204" s="18" t="n">
        <v>2</v>
      </c>
      <c r="F204" s="18">
        <f>LEN(TRIM(C204))-LEN(SUBSTITUTE(TRIM(C204)," ",""))+1</f>
        <v/>
      </c>
      <c r="G204" s="18">
        <f>IF(AND(F204&lt;=7,LEN(C204)&lt;=4096),"OK","ошибка")</f>
        <v/>
      </c>
      <c r="H204" s="10" t="inlineStr"/>
    </row>
    <row r="205">
      <c r="A205" s="18" t="inlineStr">
        <is>
          <t>K5</t>
        </is>
      </c>
      <c r="B205" s="4" t="inlineStr">
        <is>
          <t>Подготовка ребёнка</t>
        </is>
      </c>
      <c r="C205" s="4" t="inlineStr">
        <is>
          <t>как заинтересовать ребенка подготовкой к егэ</t>
        </is>
      </c>
      <c r="D205" s="4" t="inlineStr">
        <is>
          <t>Родители</t>
        </is>
      </c>
      <c r="E205" s="18" t="n">
        <v>2</v>
      </c>
      <c r="F205" s="18">
        <f>LEN(TRIM(C205))-LEN(SUBSTITUTE(TRIM(C205)," ",""))+1</f>
        <v/>
      </c>
      <c r="G205" s="18">
        <f>IF(AND(F205&lt;=7,LEN(C205)&lt;=4096),"OK","ошибка")</f>
        <v/>
      </c>
      <c r="H205" s="10" t="inlineStr"/>
    </row>
    <row r="206">
      <c r="A206" s="18" t="inlineStr">
        <is>
          <t>K6</t>
        </is>
      </c>
      <c r="B206" s="4" t="inlineStr">
        <is>
          <t>Как готовиться</t>
        </is>
      </c>
      <c r="C206" s="4" t="inlineStr">
        <is>
          <t>как подготовиться к егэ самостоятельно</t>
        </is>
      </c>
      <c r="D206" s="4" t="inlineStr">
        <is>
          <t>Информационная</t>
        </is>
      </c>
      <c r="E206" s="18" t="n">
        <v>2</v>
      </c>
      <c r="F206" s="18">
        <f>LEN(TRIM(C206))-LEN(SUBSTITUTE(TRIM(C206)," ",""))+1</f>
        <v/>
      </c>
      <c r="G206" s="18">
        <f>IF(AND(F206&lt;=7,LEN(C206)&lt;=4096),"OK","ошибка")</f>
        <v/>
      </c>
      <c r="H206" s="10" t="inlineStr"/>
    </row>
    <row r="207">
      <c r="A207" s="18" t="inlineStr">
        <is>
          <t>K6</t>
        </is>
      </c>
      <c r="B207" s="4" t="inlineStr">
        <is>
          <t>Как готовиться</t>
        </is>
      </c>
      <c r="C207" s="4" t="inlineStr">
        <is>
          <t>как подготовиться к егэ за месяц</t>
        </is>
      </c>
      <c r="D207" s="4" t="inlineStr">
        <is>
          <t>Информационная</t>
        </is>
      </c>
      <c r="E207" s="18" t="n">
        <v>2</v>
      </c>
      <c r="F207" s="18">
        <f>LEN(TRIM(C207))-LEN(SUBSTITUTE(TRIM(C207)," ",""))+1</f>
        <v/>
      </c>
      <c r="G207" s="18">
        <f>IF(AND(F207&lt;=7,LEN(C207)&lt;=4096),"OK","ошибка")</f>
        <v/>
      </c>
      <c r="H207" s="10" t="inlineStr"/>
    </row>
    <row r="208">
      <c r="A208" s="18" t="inlineStr">
        <is>
          <t>K6</t>
        </is>
      </c>
      <c r="B208" s="4" t="inlineStr">
        <is>
          <t>Как готовиться</t>
        </is>
      </c>
      <c r="C208" s="4" t="inlineStr">
        <is>
          <t>как подготовиться к егэ за полгода</t>
        </is>
      </c>
      <c r="D208" s="4" t="inlineStr">
        <is>
          <t>Информационная</t>
        </is>
      </c>
      <c r="E208" s="18" t="n">
        <v>2</v>
      </c>
      <c r="F208" s="18">
        <f>LEN(TRIM(C208))-LEN(SUBSTITUTE(TRIM(C208)," ",""))+1</f>
        <v/>
      </c>
      <c r="G208" s="18">
        <f>IF(AND(F208&lt;=7,LEN(C208)&lt;=4096),"OK","ошибка")</f>
        <v/>
      </c>
      <c r="H208" s="10" t="inlineStr"/>
    </row>
    <row r="209">
      <c r="A209" s="18" t="inlineStr">
        <is>
          <t>K6</t>
        </is>
      </c>
      <c r="B209" s="4" t="inlineStr">
        <is>
          <t>Как готовиться</t>
        </is>
      </c>
      <c r="C209" s="4" t="inlineStr">
        <is>
          <t>с чего начать подготовку к егэ</t>
        </is>
      </c>
      <c r="D209" s="4" t="inlineStr">
        <is>
          <t>Информационная</t>
        </is>
      </c>
      <c r="E209" s="18" t="n">
        <v>2</v>
      </c>
      <c r="F209" s="18">
        <f>LEN(TRIM(C209))-LEN(SUBSTITUTE(TRIM(C209)," ",""))+1</f>
        <v/>
      </c>
      <c r="G209" s="18">
        <f>IF(AND(F209&lt;=7,LEN(C209)&lt;=4096),"OK","ошибка")</f>
        <v/>
      </c>
      <c r="H209" s="10" t="inlineStr"/>
    </row>
    <row r="210">
      <c r="A210" s="18" t="inlineStr">
        <is>
          <t>K6</t>
        </is>
      </c>
      <c r="B210" s="4" t="inlineStr">
        <is>
          <t>Как готовиться</t>
        </is>
      </c>
      <c r="C210" s="4" t="inlineStr">
        <is>
          <t>как быстро подготовиться к егэ</t>
        </is>
      </c>
      <c r="D210" s="4" t="inlineStr">
        <is>
          <t>Информационная</t>
        </is>
      </c>
      <c r="E210" s="18" t="n">
        <v>2</v>
      </c>
      <c r="F210" s="18">
        <f>LEN(TRIM(C210))-LEN(SUBSTITUTE(TRIM(C210)," ",""))+1</f>
        <v/>
      </c>
      <c r="G210" s="18">
        <f>IF(AND(F210&lt;=7,LEN(C210)&lt;=4096),"OK","ошибка")</f>
        <v/>
      </c>
      <c r="H210" s="10" t="inlineStr"/>
    </row>
    <row r="211">
      <c r="A211" s="18" t="inlineStr">
        <is>
          <t>K6</t>
        </is>
      </c>
      <c r="B211" s="4" t="inlineStr">
        <is>
          <t>Как готовиться</t>
        </is>
      </c>
      <c r="C211" s="4" t="inlineStr">
        <is>
          <t>как готовиться к егэ самостоятельно</t>
        </is>
      </c>
      <c r="D211" s="4" t="inlineStr">
        <is>
          <t>Информационная</t>
        </is>
      </c>
      <c r="E211" s="18" t="n">
        <v>2</v>
      </c>
      <c r="F211" s="18">
        <f>LEN(TRIM(C211))-LEN(SUBSTITUTE(TRIM(C211)," ",""))+1</f>
        <v/>
      </c>
      <c r="G211" s="18">
        <f>IF(AND(F211&lt;=7,LEN(C211)&lt;=4096),"OK","ошибка")</f>
        <v/>
      </c>
      <c r="H211" s="10" t="inlineStr"/>
    </row>
    <row r="212">
      <c r="A212" s="18" t="inlineStr">
        <is>
          <t>K6</t>
        </is>
      </c>
      <c r="B212" s="4" t="inlineStr">
        <is>
          <t>Как готовиться</t>
        </is>
      </c>
      <c r="C212" s="4" t="inlineStr">
        <is>
          <t>план подготовки к егэ</t>
        </is>
      </c>
      <c r="D212" s="4" t="inlineStr">
        <is>
          <t>Информационная</t>
        </is>
      </c>
      <c r="E212" s="18" t="n">
        <v>2</v>
      </c>
      <c r="F212" s="18">
        <f>LEN(TRIM(C212))-LEN(SUBSTITUTE(TRIM(C212)," ",""))+1</f>
        <v/>
      </c>
      <c r="G212" s="18">
        <f>IF(AND(F212&lt;=7,LEN(C212)&lt;=4096),"OK","ошибка")</f>
        <v/>
      </c>
      <c r="H212" s="10" t="inlineStr"/>
    </row>
    <row r="213">
      <c r="A213" s="18" t="inlineStr">
        <is>
          <t>K6</t>
        </is>
      </c>
      <c r="B213" s="4" t="inlineStr">
        <is>
          <t>Как готовиться</t>
        </is>
      </c>
      <c r="C213" s="4" t="inlineStr">
        <is>
          <t>план подготовки к егэ на год</t>
        </is>
      </c>
      <c r="D213" s="4" t="inlineStr">
        <is>
          <t>Информационная</t>
        </is>
      </c>
      <c r="E213" s="18" t="n">
        <v>2</v>
      </c>
      <c r="F213" s="18">
        <f>LEN(TRIM(C213))-LEN(SUBSTITUTE(TRIM(C213)," ",""))+1</f>
        <v/>
      </c>
      <c r="G213" s="18">
        <f>IF(AND(F213&lt;=7,LEN(C213)&lt;=4096),"OK","ошибка")</f>
        <v/>
      </c>
      <c r="H213" s="10" t="inlineStr"/>
    </row>
    <row r="214">
      <c r="A214" s="18" t="inlineStr">
        <is>
          <t>K6</t>
        </is>
      </c>
      <c r="B214" s="4" t="inlineStr">
        <is>
          <t>ЕГЭ 2027: что нового</t>
        </is>
      </c>
      <c r="C214" s="4" t="inlineStr">
        <is>
          <t>что изменится в егэ 2027</t>
        </is>
      </c>
      <c r="D214" s="4" t="inlineStr">
        <is>
          <t>Информационная</t>
        </is>
      </c>
      <c r="E214" s="18" t="n">
        <v>2</v>
      </c>
      <c r="F214" s="18">
        <f>LEN(TRIM(C214))-LEN(SUBSTITUTE(TRIM(C214)," ",""))+1</f>
        <v/>
      </c>
      <c r="G214" s="18">
        <f>IF(AND(F214&lt;=7,LEN(C214)&lt;=4096),"OK","ошибка")</f>
        <v/>
      </c>
      <c r="H214" s="10" t="inlineStr">
        <is>
          <t>На сайте есть раздел «Изменения КИМ 2027» — проверить, что рекламная посадочная его показывает.</t>
        </is>
      </c>
    </row>
    <row r="215">
      <c r="A215" s="18" t="inlineStr">
        <is>
          <t>K6</t>
        </is>
      </c>
      <c r="B215" s="4" t="inlineStr">
        <is>
          <t>ЕГЭ 2027: что нового</t>
        </is>
      </c>
      <c r="C215" s="4" t="inlineStr">
        <is>
          <t>изменения егэ 2027</t>
        </is>
      </c>
      <c r="D215" s="4" t="inlineStr">
        <is>
          <t>Информационная</t>
        </is>
      </c>
      <c r="E215" s="18" t="n">
        <v>2</v>
      </c>
      <c r="F215" s="18">
        <f>LEN(TRIM(C215))-LEN(SUBSTITUTE(TRIM(C215)," ",""))+1</f>
        <v/>
      </c>
      <c r="G215" s="18">
        <f>IF(AND(F215&lt;=7,LEN(C215)&lt;=4096),"OK","ошибка")</f>
        <v/>
      </c>
      <c r="H215" s="10" t="inlineStr">
        <is>
          <t>На сайте есть раздел «Изменения КИМ 2027» — проверить, что рекламная посадочная его показывает.</t>
        </is>
      </c>
    </row>
    <row r="216">
      <c r="A216" s="18" t="inlineStr">
        <is>
          <t>K6</t>
        </is>
      </c>
      <c r="B216" s="4" t="inlineStr">
        <is>
          <t>ЕГЭ 2027: что нового</t>
        </is>
      </c>
      <c r="C216" s="4" t="inlineStr">
        <is>
          <t>структура егэ 2027</t>
        </is>
      </c>
      <c r="D216" s="4" t="inlineStr">
        <is>
          <t>Информационная</t>
        </is>
      </c>
      <c r="E216" s="18" t="n">
        <v>2</v>
      </c>
      <c r="F216" s="18">
        <f>LEN(TRIM(C216))-LEN(SUBSTITUTE(TRIM(C216)," ",""))+1</f>
        <v/>
      </c>
      <c r="G216" s="18">
        <f>IF(AND(F216&lt;=7,LEN(C216)&lt;=4096),"OK","ошибка")</f>
        <v/>
      </c>
      <c r="H216" s="10" t="inlineStr">
        <is>
          <t>На сайте есть раздел «Изменения КИМ 2027» — проверить, что рекламная посадочная его показывает.</t>
        </is>
      </c>
    </row>
    <row r="217">
      <c r="A217" s="18" t="inlineStr">
        <is>
          <t>K6</t>
        </is>
      </c>
      <c r="B217" s="4" t="inlineStr">
        <is>
          <t>ЕГЭ 2027: что нового</t>
        </is>
      </c>
      <c r="C217" s="4" t="inlineStr">
        <is>
          <t>критерии оценивания егэ 2027</t>
        </is>
      </c>
      <c r="D217" s="4" t="inlineStr">
        <is>
          <t>Информационная</t>
        </is>
      </c>
      <c r="E217" s="18" t="n">
        <v>2</v>
      </c>
      <c r="F217" s="18">
        <f>LEN(TRIM(C217))-LEN(SUBSTITUTE(TRIM(C217)," ",""))+1</f>
        <v/>
      </c>
      <c r="G217" s="18">
        <f>IF(AND(F217&lt;=7,LEN(C217)&lt;=4096),"OK","ошибка")</f>
        <v/>
      </c>
      <c r="H217" s="10" t="inlineStr">
        <is>
          <t>На сайте есть раздел «Изменения КИМ 2027» — проверить, что рекламная посадочная его показывает.</t>
        </is>
      </c>
    </row>
    <row r="218">
      <c r="A218" s="18" t="inlineStr">
        <is>
          <t>K6</t>
        </is>
      </c>
      <c r="B218" s="4" t="inlineStr">
        <is>
          <t>ЕГЭ 2027: что нового</t>
        </is>
      </c>
      <c r="C218" s="4" t="inlineStr">
        <is>
          <t>новое в егэ 2027 для школьников</t>
        </is>
      </c>
      <c r="D218" s="4" t="inlineStr">
        <is>
          <t>Информационная</t>
        </is>
      </c>
      <c r="E218" s="18" t="n">
        <v>2</v>
      </c>
      <c r="F218" s="18">
        <f>LEN(TRIM(C218))-LEN(SUBSTITUTE(TRIM(C218)," ",""))+1</f>
        <v/>
      </c>
      <c r="G218" s="18">
        <f>IF(AND(F218&lt;=7,LEN(C218)&lt;=4096),"OK","ошибка")</f>
        <v/>
      </c>
      <c r="H218" s="10" t="inlineStr">
        <is>
          <t>На сайте есть раздел «Изменения КИМ 2027» — проверить, что рекламная посадочная его показывает.</t>
        </is>
      </c>
    </row>
  </sheetData>
  <autoFilter ref="A4:H218"/>
  <conditionalFormatting sqref="G5:G218">
    <cfRule type="expression" priority="1" dxfId="0">
      <formula>AND(G5&lt;&gt;"",G5&lt;&gt;"OK")</formula>
    </cfRule>
    <cfRule type="expression" priority="2" dxfId="1">
      <formula>G5="OK"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6" customWidth="1" min="3" max="3"/>
    <col width="32" customWidth="1" min="4" max="4"/>
    <col width="28" customWidth="1" min="5" max="5"/>
    <col width="60" customWidth="1" min="6" max="6"/>
    <col width="18" customWidth="1" min="7" max="7"/>
    <col width="60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1" customWidth="1" min="15" max="15"/>
  </cols>
  <sheetData>
    <row r="1">
      <c r="A1" s="1" t="inlineStr">
        <is>
          <t>Объявления для поиска</t>
        </is>
      </c>
    </row>
    <row r="2">
      <c r="A2" s="2" t="inlineStr">
        <is>
          <t>Лимиты (справка Директа): заголовок 1 — 35 симв. без знаков препинания, заголовок 2 — 30, текст — 81; знаков препинания не больше 15; отображаемая ссылка — 20. Слова длиннее 22/23 символов проверены отдельно.</t>
        </is>
      </c>
    </row>
    <row r="4" ht="32" customHeight="1">
      <c r="A4" s="8" t="inlineStr">
        <is>
          <t>Кампания</t>
        </is>
      </c>
      <c r="B4" s="8" t="inlineStr">
        <is>
          <t>Группа</t>
        </is>
      </c>
      <c r="C4" s="8" t="inlineStr">
        <is>
          <t>Вар.</t>
        </is>
      </c>
      <c r="D4" s="8" t="inlineStr">
        <is>
          <t>Заголовок 1</t>
        </is>
      </c>
      <c r="E4" s="8" t="inlineStr">
        <is>
          <t>Заголовок 2</t>
        </is>
      </c>
      <c r="F4" s="8" t="inlineStr">
        <is>
          <t>Текст</t>
        </is>
      </c>
      <c r="G4" s="8" t="inlineStr">
        <is>
          <t>Отображаемая ссылка</t>
        </is>
      </c>
      <c r="H4" s="8" t="inlineStr">
        <is>
          <t>URL (с метками)</t>
        </is>
      </c>
      <c r="I4" s="8" t="inlineStr">
        <is>
          <t>З1 симв.</t>
        </is>
      </c>
      <c r="J4" s="8" t="inlineStr">
        <is>
          <t>З1 знаки</t>
        </is>
      </c>
      <c r="K4" s="8" t="inlineStr">
        <is>
          <t>З2 симв.</t>
        </is>
      </c>
      <c r="L4" s="8" t="inlineStr">
        <is>
          <t>З2 знаки</t>
        </is>
      </c>
      <c r="M4" s="8" t="inlineStr">
        <is>
          <t>Текст симв.</t>
        </is>
      </c>
      <c r="N4" s="8" t="inlineStr">
        <is>
          <t>Текст знаки</t>
        </is>
      </c>
      <c r="O4" s="8" t="inlineStr">
        <is>
          <t>Проверка</t>
        </is>
      </c>
    </row>
    <row r="5">
      <c r="A5" s="18" t="inlineStr">
        <is>
          <t>K2</t>
        </is>
      </c>
      <c r="B5" s="4" t="inlineStr">
        <is>
          <t>ИИ-репетитор</t>
        </is>
      </c>
      <c r="C5" s="18" t="inlineStr">
        <is>
          <t>A</t>
        </is>
      </c>
      <c r="D5" s="4" t="inlineStr">
        <is>
          <t>ИИ-репетитор для ЕГЭ</t>
        </is>
      </c>
      <c r="E5" s="4" t="inlineStr">
        <is>
          <t>Объясняет, а не решает</t>
        </is>
      </c>
      <c r="F5" s="4" t="inlineStr">
        <is>
          <t>Разбор заданий по шагам и подсказки трёх уровней. Начните бесплатно</t>
        </is>
      </c>
      <c r="G5" s="4" t="inlineStr">
        <is>
          <t>ИИ-репетитор</t>
        </is>
      </c>
      <c r="H5" s="10" t="inlineStr">
        <is>
          <t>https://ege-tutor.ru/?utm_source=yandex&amp;utm_medium=cpc&amp;utm_campaign=k2_hot&amp;utm_content={ad_id}&amp;utm_term={keyword}</t>
        </is>
      </c>
      <c r="I5" s="18">
        <f>LEN(D5)-J5</f>
        <v/>
      </c>
      <c r="J5" s="18">
        <f>SUMPRODUCT(LEN(D5)-LEN(SUBSTITUTE(D5,{".",",","!","?",":",";","—","–","«","»","""","'","(",")"},"")))</f>
        <v/>
      </c>
      <c r="K5" s="18">
        <f>LEN(E5)-L5</f>
        <v/>
      </c>
      <c r="L5" s="18">
        <f>SUMPRODUCT(LEN(E5)-LEN(SUBSTITUTE(E5,{".",",","!","?",":",";","—","–","«","»","""","'","(",")"},"")))</f>
        <v/>
      </c>
      <c r="M5" s="18">
        <f>LEN(F5)-N5</f>
        <v/>
      </c>
      <c r="N5" s="18">
        <f>SUMPRODUCT(LEN(F5)-LEN(SUBSTITUTE(F5,{".",",","!","?",":",";","—","–","«","»","""","'","(",")"},"")))</f>
        <v/>
      </c>
      <c r="O5" s="18">
        <f>IF(AND(I5&lt;=35,J5&lt;=15,K5&lt;=30,L5&lt;=15,M5&lt;=81,N5&lt;=15,LEN(G5)&lt;=20),"OK","проверить")</f>
        <v/>
      </c>
    </row>
    <row r="6">
      <c r="A6" s="18" t="inlineStr">
        <is>
          <t>K2</t>
        </is>
      </c>
      <c r="B6" s="4" t="inlineStr">
        <is>
          <t>ИИ-репетитор</t>
        </is>
      </c>
      <c r="C6" s="18" t="inlineStr">
        <is>
          <t>B</t>
        </is>
      </c>
      <c r="D6" s="4" t="inlineStr">
        <is>
          <t>Репетитор с ИИ для ЕГЭ</t>
        </is>
      </c>
      <c r="E6" s="4" t="inlineStr">
        <is>
          <t>Безлимит от 1990 ₽/мес</t>
        </is>
      </c>
      <c r="F6" s="4" t="inlineStr">
        <is>
          <t>Безлимитный ИИ-репетитор на 2 предмета от 1990 ₽ в месяц. Есть бесплатный старт</t>
        </is>
      </c>
      <c r="G6" s="4" t="inlineStr">
        <is>
          <t>ИИ-репетитор</t>
        </is>
      </c>
      <c r="H6" s="10" t="inlineStr">
        <is>
          <t>https://ege-tutor.ru/?utm_source=yandex&amp;utm_medium=cpc&amp;utm_campaign=k2_hot&amp;utm_content={ad_id}&amp;utm_term={keyword}</t>
        </is>
      </c>
      <c r="I6" s="18">
        <f>LEN(D6)-J6</f>
        <v/>
      </c>
      <c r="J6" s="18">
        <f>SUMPRODUCT(LEN(D6)-LEN(SUBSTITUTE(D6,{".",",","!","?",":",";","—","–","«","»","""","'","(",")"},"")))</f>
        <v/>
      </c>
      <c r="K6" s="18">
        <f>LEN(E6)-L6</f>
        <v/>
      </c>
      <c r="L6" s="18">
        <f>SUMPRODUCT(LEN(E6)-LEN(SUBSTITUTE(E6,{".",",","!","?",":",";","—","–","«","»","""","'","(",")"},"")))</f>
        <v/>
      </c>
      <c r="M6" s="18">
        <f>LEN(F6)-N6</f>
        <v/>
      </c>
      <c r="N6" s="18">
        <f>SUMPRODUCT(LEN(F6)-LEN(SUBSTITUTE(F6,{".",",","!","?",":",";","—","–","«","»","""","'","(",")"},"")))</f>
        <v/>
      </c>
      <c r="O6" s="18">
        <f>IF(AND(I6&lt;=35,J6&lt;=15,K6&lt;=30,L6&lt;=15,M6&lt;=81,N6&lt;=15,LEN(G6)&lt;=20),"OK","проверить")</f>
        <v/>
      </c>
    </row>
    <row r="7">
      <c r="A7" s="18" t="inlineStr">
        <is>
          <t>K2</t>
        </is>
      </c>
      <c r="B7" s="4" t="inlineStr">
        <is>
          <t>Тренажёр ЕГЭ</t>
        </is>
      </c>
      <c r="C7" s="18" t="inlineStr">
        <is>
          <t>A</t>
        </is>
      </c>
      <c r="D7" s="4" t="inlineStr">
        <is>
          <t>Тренажёр ЕГЭ онлайн с ИИ</t>
        </is>
      </c>
      <c r="E7" s="4" t="inlineStr">
        <is>
          <t>Задания формата ФИПИ</t>
        </is>
      </c>
      <c r="F7" s="4" t="inlineStr">
        <is>
          <t>Решайте задания, получайте подсказки и разбор по шагам. Начните бесплатно</t>
        </is>
      </c>
      <c r="G7" s="4" t="inlineStr">
        <is>
          <t>Тренажёр-ЕГЭ</t>
        </is>
      </c>
      <c r="H7" s="10" t="inlineStr">
        <is>
          <t>https://ege-tutor.ru/?utm_source=yandex&amp;utm_medium=cpc&amp;utm_campaign=k2_hot&amp;utm_content={ad_id}&amp;utm_term={keyword}</t>
        </is>
      </c>
      <c r="I7" s="18">
        <f>LEN(D7)-J7</f>
        <v/>
      </c>
      <c r="J7" s="18">
        <f>SUMPRODUCT(LEN(D7)-LEN(SUBSTITUTE(D7,{".",",","!","?",":",";","—","–","«","»","""","'","(",")"},"")))</f>
        <v/>
      </c>
      <c r="K7" s="18">
        <f>LEN(E7)-L7</f>
        <v/>
      </c>
      <c r="L7" s="18">
        <f>SUMPRODUCT(LEN(E7)-LEN(SUBSTITUTE(E7,{".",",","!","?",":",";","—","–","«","»","""","'","(",")"},"")))</f>
        <v/>
      </c>
      <c r="M7" s="18">
        <f>LEN(F7)-N7</f>
        <v/>
      </c>
      <c r="N7" s="18">
        <f>SUMPRODUCT(LEN(F7)-LEN(SUBSTITUTE(F7,{".",",","!","?",":",";","—","–","«","»","""","'","(",")"},"")))</f>
        <v/>
      </c>
      <c r="O7" s="18">
        <f>IF(AND(I7&lt;=35,J7&lt;=15,K7&lt;=30,L7&lt;=15,M7&lt;=81,N7&lt;=15,LEN(G7)&lt;=20),"OK","проверить")</f>
        <v/>
      </c>
    </row>
    <row r="8">
      <c r="A8" s="18" t="inlineStr">
        <is>
          <t>K2</t>
        </is>
      </c>
      <c r="B8" s="4" t="inlineStr">
        <is>
          <t>Тренажёр ЕГЭ</t>
        </is>
      </c>
      <c r="C8" s="18" t="inlineStr">
        <is>
          <t>B</t>
        </is>
      </c>
      <c r="D8" s="4" t="inlineStr">
        <is>
          <t>Пробные варианты ЕГЭ онлайн</t>
        </is>
      </c>
      <c r="E8" s="4" t="inlineStr">
        <is>
          <t>Экзамен-режим с таймером</t>
        </is>
      </c>
      <c r="F8" s="4" t="inlineStr">
        <is>
          <t>Тренируйтесь с таймером, разбирайте ошибки, следите за прогрессом по предметам</t>
        </is>
      </c>
      <c r="G8" s="4" t="inlineStr">
        <is>
          <t>Тренажёр-ЕГЭ</t>
        </is>
      </c>
      <c r="H8" s="10" t="inlineStr">
        <is>
          <t>https://ege-tutor.ru/?utm_source=yandex&amp;utm_medium=cpc&amp;utm_campaign=k2_hot&amp;utm_content={ad_id}&amp;utm_term={keyword}</t>
        </is>
      </c>
      <c r="I8" s="18">
        <f>LEN(D8)-J8</f>
        <v/>
      </c>
      <c r="J8" s="18">
        <f>SUMPRODUCT(LEN(D8)-LEN(SUBSTITUTE(D8,{".",",","!","?",":",";","—","–","«","»","""","'","(",")"},"")))</f>
        <v/>
      </c>
      <c r="K8" s="18">
        <f>LEN(E8)-L8</f>
        <v/>
      </c>
      <c r="L8" s="18">
        <f>SUMPRODUCT(LEN(E8)-LEN(SUBSTITUTE(E8,{".",",","!","?",":",";","—","–","«","»","""","'","(",")"},"")))</f>
        <v/>
      </c>
      <c r="M8" s="18">
        <f>LEN(F8)-N8</f>
        <v/>
      </c>
      <c r="N8" s="18">
        <f>SUMPRODUCT(LEN(F8)-LEN(SUBSTITUTE(F8,{".",",","!","?",":",";","—","–","«","»","""","'","(",")"},"")))</f>
        <v/>
      </c>
      <c r="O8" s="18">
        <f>IF(AND(I8&lt;=35,J8&lt;=15,K8&lt;=30,L8&lt;=15,M8&lt;=81,N8&lt;=15,LEN(G8)&lt;=20),"OK","проверить")</f>
        <v/>
      </c>
    </row>
    <row r="9">
      <c r="A9" s="18" t="inlineStr">
        <is>
          <t>K2</t>
        </is>
      </c>
      <c r="B9" s="4" t="inlineStr">
        <is>
          <t>Платформа подготовки</t>
        </is>
      </c>
      <c r="C9" s="18" t="inlineStr">
        <is>
          <t>A</t>
        </is>
      </c>
      <c r="D9" s="4" t="inlineStr">
        <is>
          <t>Подготовка к ЕГЭ онлайн</t>
        </is>
      </c>
      <c r="E9" s="4" t="inlineStr">
        <is>
          <t>ИИ-репетитор и банк заданий</t>
        </is>
      </c>
      <c r="F9" s="4" t="inlineStr">
        <is>
          <t>Задания формата ФИПИ, персональный план и статистика. Первые шаги бесплатно</t>
        </is>
      </c>
      <c r="G9" s="4" t="inlineStr">
        <is>
          <t>Подготовка-ЕГЭ</t>
        </is>
      </c>
      <c r="H9" s="10" t="inlineStr">
        <is>
          <t>https://ege-tutor.ru/?utm_source=yandex&amp;utm_medium=cpc&amp;utm_campaign=k2_hot&amp;utm_content={ad_id}&amp;utm_term={keyword}</t>
        </is>
      </c>
      <c r="I9" s="18">
        <f>LEN(D9)-J9</f>
        <v/>
      </c>
      <c r="J9" s="18">
        <f>SUMPRODUCT(LEN(D9)-LEN(SUBSTITUTE(D9,{".",",","!","?",":",";","—","–","«","»","""","'","(",")"},"")))</f>
        <v/>
      </c>
      <c r="K9" s="18">
        <f>LEN(E9)-L9</f>
        <v/>
      </c>
      <c r="L9" s="18">
        <f>SUMPRODUCT(LEN(E9)-LEN(SUBSTITUTE(E9,{".",",","!","?",":",";","—","–","«","»","""","'","(",")"},"")))</f>
        <v/>
      </c>
      <c r="M9" s="18">
        <f>LEN(F9)-N9</f>
        <v/>
      </c>
      <c r="N9" s="18">
        <f>SUMPRODUCT(LEN(F9)-LEN(SUBSTITUTE(F9,{".",",","!","?",":",";","—","–","«","»","""","'","(",")"},"")))</f>
        <v/>
      </c>
      <c r="O9" s="18">
        <f>IF(AND(I9&lt;=35,J9&lt;=15,K9&lt;=30,L9&lt;=15,M9&lt;=81,N9&lt;=15,LEN(G9)&lt;=20),"OK","проверить")</f>
        <v/>
      </c>
    </row>
    <row r="10">
      <c r="A10" s="18" t="inlineStr">
        <is>
          <t>K2</t>
        </is>
      </c>
      <c r="B10" s="4" t="inlineStr">
        <is>
          <t>Платформа подготовки</t>
        </is>
      </c>
      <c r="C10" s="18" t="inlineStr">
        <is>
          <t>B</t>
        </is>
      </c>
      <c r="D10" s="4" t="inlineStr">
        <is>
          <t>Платформа подготовки к ЕГЭ</t>
        </is>
      </c>
      <c r="E10" s="4" t="inlineStr">
        <is>
          <t>Начните бесплатно</t>
        </is>
      </c>
      <c r="F10" s="4" t="inlineStr">
        <is>
          <t>3 обращения к ИИ-репетитору в день бесплатно. Безлимит — от 1990 ₽ в месяц</t>
        </is>
      </c>
      <c r="G10" s="4" t="inlineStr">
        <is>
          <t>Подготовка-ЕГЭ</t>
        </is>
      </c>
      <c r="H10" s="10" t="inlineStr">
        <is>
          <t>https://ege-tutor.ru/?utm_source=yandex&amp;utm_medium=cpc&amp;utm_campaign=k2_hot&amp;utm_content={ad_id}&amp;utm_term={keyword}</t>
        </is>
      </c>
      <c r="I10" s="18">
        <f>LEN(D10)-J10</f>
        <v/>
      </c>
      <c r="J10" s="18">
        <f>SUMPRODUCT(LEN(D10)-LEN(SUBSTITUTE(D10,{".",",","!","?",":",";","—","–","«","»","""","'","(",")"},"")))</f>
        <v/>
      </c>
      <c r="K10" s="18">
        <f>LEN(E10)-L10</f>
        <v/>
      </c>
      <c r="L10" s="18">
        <f>SUMPRODUCT(LEN(E10)-LEN(SUBSTITUTE(E10,{".",",","!","?",":",";","—","–","«","»","""","'","(",")"},"")))</f>
        <v/>
      </c>
      <c r="M10" s="18">
        <f>LEN(F10)-N10</f>
        <v/>
      </c>
      <c r="N10" s="18">
        <f>SUMPRODUCT(LEN(F10)-LEN(SUBSTITUTE(F10,{".",",","!","?",":",";","—","–","«","»","""","'","(",")"},"")))</f>
        <v/>
      </c>
      <c r="O10" s="18">
        <f>IF(AND(I10&lt;=35,J10&lt;=15,K10&lt;=30,L10&lt;=15,M10&lt;=81,N10&lt;=15,LEN(G10)&lt;=20),"OK","проверить")</f>
        <v/>
      </c>
    </row>
    <row r="11">
      <c r="A11" s="18" t="inlineStr">
        <is>
          <t>K2</t>
        </is>
      </c>
      <c r="B11" s="4" t="inlineStr">
        <is>
          <t>ЕГЭ 2027</t>
        </is>
      </c>
      <c r="C11" s="18" t="inlineStr">
        <is>
          <t>A</t>
        </is>
      </c>
      <c r="D11" s="4" t="inlineStr">
        <is>
          <t>Подготовка к ЕГЭ 2027 с ИИ</t>
        </is>
      </c>
      <c r="E11" s="4" t="inlineStr">
        <is>
          <t>Объясняет, а не решает</t>
        </is>
      </c>
      <c r="F11" s="4" t="inlineStr">
        <is>
          <t>Задания формата ФИПИ, подсказки и разбор по шагам. Есть бесплатный старт</t>
        </is>
      </c>
      <c r="G11" s="4" t="inlineStr">
        <is>
          <t>ЕГЭ-2027</t>
        </is>
      </c>
      <c r="H11" s="10" t="inlineStr">
        <is>
          <t>https://ege-tutor.ru/?utm_source=yandex&amp;utm_medium=cpc&amp;utm_campaign=k2_hot&amp;utm_content={ad_id}&amp;utm_term={keyword}</t>
        </is>
      </c>
      <c r="I11" s="18">
        <f>LEN(D11)-J11</f>
        <v/>
      </c>
      <c r="J11" s="18">
        <f>SUMPRODUCT(LEN(D11)-LEN(SUBSTITUTE(D11,{".",",","!","?",":",";","—","–","«","»","""","'","(",")"},"")))</f>
        <v/>
      </c>
      <c r="K11" s="18">
        <f>LEN(E11)-L11</f>
        <v/>
      </c>
      <c r="L11" s="18">
        <f>SUMPRODUCT(LEN(E11)-LEN(SUBSTITUTE(E11,{".",",","!","?",":",";","—","–","«","»","""","'","(",")"},"")))</f>
        <v/>
      </c>
      <c r="M11" s="18">
        <f>LEN(F11)-N11</f>
        <v/>
      </c>
      <c r="N11" s="18">
        <f>SUMPRODUCT(LEN(F11)-LEN(SUBSTITUTE(F11,{".",",","!","?",":",";","—","–","«","»","""","'","(",")"},"")))</f>
        <v/>
      </c>
      <c r="O11" s="18">
        <f>IF(AND(I11&lt;=35,J11&lt;=15,K11&lt;=30,L11&lt;=15,M11&lt;=81,N11&lt;=15,LEN(G11)&lt;=20),"OK","проверить")</f>
        <v/>
      </c>
    </row>
    <row r="12">
      <c r="A12" s="18" t="inlineStr">
        <is>
          <t>K2</t>
        </is>
      </c>
      <c r="B12" s="4" t="inlineStr">
        <is>
          <t>ЕГЭ 2027</t>
        </is>
      </c>
      <c r="C12" s="18" t="inlineStr">
        <is>
          <t>B</t>
        </is>
      </c>
      <c r="D12" s="4" t="inlineStr">
        <is>
          <t>ЕГЭ 2027: тренажёр с ИИ</t>
        </is>
      </c>
      <c r="E12" s="4" t="inlineStr">
        <is>
          <t>Безлимит от 1990 ₽/мес</t>
        </is>
      </c>
      <c r="F12" s="4" t="inlineStr">
        <is>
          <t>ИИ-репетитор по вашим предметам: подсказки, разбор заданий, план подготовки</t>
        </is>
      </c>
      <c r="G12" s="4" t="inlineStr">
        <is>
          <t>ЕГЭ-2027</t>
        </is>
      </c>
      <c r="H12" s="10" t="inlineStr">
        <is>
          <t>https://ege-tutor.ru/?utm_source=yandex&amp;utm_medium=cpc&amp;utm_campaign=k2_hot&amp;utm_content={ad_id}&amp;utm_term={keyword}</t>
        </is>
      </c>
      <c r="I12" s="18">
        <f>LEN(D12)-J12</f>
        <v/>
      </c>
      <c r="J12" s="18">
        <f>SUMPRODUCT(LEN(D12)-LEN(SUBSTITUTE(D12,{".",",","!","?",":",";","—","–","«","»","""","'","(",")"},"")))</f>
        <v/>
      </c>
      <c r="K12" s="18">
        <f>LEN(E12)-L12</f>
        <v/>
      </c>
      <c r="L12" s="18">
        <f>SUMPRODUCT(LEN(E12)-LEN(SUBSTITUTE(E12,{".",",","!","?",":",";","—","–","«","»","""","'","(",")"},"")))</f>
        <v/>
      </c>
      <c r="M12" s="18">
        <f>LEN(F12)-N12</f>
        <v/>
      </c>
      <c r="N12" s="18">
        <f>SUMPRODUCT(LEN(F12)-LEN(SUBSTITUTE(F12,{".",",","!","?",":",";","—","–","«","»","""","'","(",")"},"")))</f>
        <v/>
      </c>
      <c r="O12" s="18">
        <f>IF(AND(I12&lt;=35,J12&lt;=15,K12&lt;=30,L12&lt;=15,M12&lt;=81,N12&lt;=15,LEN(G12)&lt;=20),"OK","проверить")</f>
        <v/>
      </c>
    </row>
    <row r="13">
      <c r="A13" s="18" t="inlineStr">
        <is>
          <t>K3</t>
        </is>
      </c>
      <c r="B13" s="4" t="inlineStr">
        <is>
          <t>ЕГЭ математика</t>
        </is>
      </c>
      <c r="C13" s="18" t="inlineStr">
        <is>
          <t>A</t>
        </is>
      </c>
      <c r="D13" s="4" t="inlineStr">
        <is>
          <t>ЕГЭ математика: тренажёр с ИИ</t>
        </is>
      </c>
      <c r="E13" s="4" t="inlineStr">
        <is>
          <t>Объясняет, а не решает</t>
        </is>
      </c>
      <c r="F13" s="4" t="inlineStr">
        <is>
          <t>Задания по математике профиль: разбор по шагам и подсказки. Начните бесплатно</t>
        </is>
      </c>
      <c r="G13" s="4" t="inlineStr">
        <is>
          <t>Математика-ЕГЭ</t>
        </is>
      </c>
      <c r="H13" s="10" t="inlineStr">
        <is>
          <t>https://ege-tutor.ru/?utm_source=yandex&amp;utm_medium=cpc&amp;utm_campaign=k3_math&amp;utm_content={ad_id}&amp;utm_term={keyword}</t>
        </is>
      </c>
      <c r="I13" s="18">
        <f>LEN(D13)-J13</f>
        <v/>
      </c>
      <c r="J13" s="18">
        <f>SUMPRODUCT(LEN(D13)-LEN(SUBSTITUTE(D13,{".",",","!","?",":",";","—","–","«","»","""","'","(",")"},"")))</f>
        <v/>
      </c>
      <c r="K13" s="18">
        <f>LEN(E13)-L13</f>
        <v/>
      </c>
      <c r="L13" s="18">
        <f>SUMPRODUCT(LEN(E13)-LEN(SUBSTITUTE(E13,{".",",","!","?",":",";","—","–","«","»","""","'","(",")"},"")))</f>
        <v/>
      </c>
      <c r="M13" s="18">
        <f>LEN(F13)-N13</f>
        <v/>
      </c>
      <c r="N13" s="18">
        <f>SUMPRODUCT(LEN(F13)-LEN(SUBSTITUTE(F13,{".",",","!","?",":",";","—","–","«","»","""","'","(",")"},"")))</f>
        <v/>
      </c>
      <c r="O13" s="18">
        <f>IF(AND(I13&lt;=35,J13&lt;=15,K13&lt;=30,L13&lt;=15,M13&lt;=81,N13&lt;=15,LEN(G13)&lt;=20),"OK","проверить")</f>
        <v/>
      </c>
    </row>
    <row r="14">
      <c r="A14" s="18" t="inlineStr">
        <is>
          <t>K3</t>
        </is>
      </c>
      <c r="B14" s="4" t="inlineStr">
        <is>
          <t>ЕГЭ математика</t>
        </is>
      </c>
      <c r="C14" s="18" t="inlineStr">
        <is>
          <t>B</t>
        </is>
      </c>
      <c r="D14" s="4" t="inlineStr">
        <is>
          <t>ИИ-репетитор: математика ЕГЭ</t>
        </is>
      </c>
      <c r="E14" s="4" t="inlineStr">
        <is>
          <t>От 1990 ₽/мес, безлимит</t>
        </is>
      </c>
      <c r="F14" s="4" t="inlineStr">
        <is>
          <t>Безлимитный ИИ-репетитор на 2 предмета от 1990 ₽ в месяц. Бесплатный старт есть</t>
        </is>
      </c>
      <c r="G14" s="4" t="inlineStr">
        <is>
          <t>Математика-ЕГЭ</t>
        </is>
      </c>
      <c r="H14" s="10" t="inlineStr">
        <is>
          <t>https://ege-tutor.ru/?utm_source=yandex&amp;utm_medium=cpc&amp;utm_campaign=k3_math&amp;utm_content={ad_id}&amp;utm_term={keyword}</t>
        </is>
      </c>
      <c r="I14" s="18">
        <f>LEN(D14)-J14</f>
        <v/>
      </c>
      <c r="J14" s="18">
        <f>SUMPRODUCT(LEN(D14)-LEN(SUBSTITUTE(D14,{".",",","!","?",":",";","—","–","«","»","""","'","(",")"},"")))</f>
        <v/>
      </c>
      <c r="K14" s="18">
        <f>LEN(E14)-L14</f>
        <v/>
      </c>
      <c r="L14" s="18">
        <f>SUMPRODUCT(LEN(E14)-LEN(SUBSTITUTE(E14,{".",",","!","?",":",";","—","–","«","»","""","'","(",")"},"")))</f>
        <v/>
      </c>
      <c r="M14" s="18">
        <f>LEN(F14)-N14</f>
        <v/>
      </c>
      <c r="N14" s="18">
        <f>SUMPRODUCT(LEN(F14)-LEN(SUBSTITUTE(F14,{".",",","!","?",":",";","—","–","«","»","""","'","(",")"},"")))</f>
        <v/>
      </c>
      <c r="O14" s="18">
        <f>IF(AND(I14&lt;=35,J14&lt;=15,K14&lt;=30,L14&lt;=15,M14&lt;=81,N14&lt;=15,LEN(G14)&lt;=20),"OK","проверить")</f>
        <v/>
      </c>
    </row>
    <row r="15">
      <c r="A15" s="18" t="inlineStr">
        <is>
          <t>K3</t>
        </is>
      </c>
      <c r="B15" s="4" t="inlineStr">
        <is>
          <t>ЕГЭ русский язык</t>
        </is>
      </c>
      <c r="C15" s="18" t="inlineStr">
        <is>
          <t>A</t>
        </is>
      </c>
      <c r="D15" s="4" t="inlineStr">
        <is>
          <t>ЕГЭ русский язык: тренажёр с ИИ</t>
        </is>
      </c>
      <c r="E15" s="4" t="inlineStr">
        <is>
          <t>Объясняет, а не решает</t>
        </is>
      </c>
      <c r="F15" s="4" t="inlineStr">
        <is>
          <t>Задания по русскому языку: разбор по шагам и подсказки. Начните бесплатно</t>
        </is>
      </c>
      <c r="G15" s="4" t="inlineStr">
        <is>
          <t>Русский-язык-ЕГЭ</t>
        </is>
      </c>
      <c r="H15" s="10" t="inlineStr">
        <is>
          <t>https://ege-tutor.ru/?utm_source=yandex&amp;utm_medium=cpc&amp;utm_campaign=k3_rus&amp;utm_content={ad_id}&amp;utm_term={keyword}</t>
        </is>
      </c>
      <c r="I15" s="18">
        <f>LEN(D15)-J15</f>
        <v/>
      </c>
      <c r="J15" s="18">
        <f>SUMPRODUCT(LEN(D15)-LEN(SUBSTITUTE(D15,{".",",","!","?",":",";","—","–","«","»","""","'","(",")"},"")))</f>
        <v/>
      </c>
      <c r="K15" s="18">
        <f>LEN(E15)-L15</f>
        <v/>
      </c>
      <c r="L15" s="18">
        <f>SUMPRODUCT(LEN(E15)-LEN(SUBSTITUTE(E15,{".",",","!","?",":",";","—","–","«","»","""","'","(",")"},"")))</f>
        <v/>
      </c>
      <c r="M15" s="18">
        <f>LEN(F15)-N15</f>
        <v/>
      </c>
      <c r="N15" s="18">
        <f>SUMPRODUCT(LEN(F15)-LEN(SUBSTITUTE(F15,{".",",","!","?",":",";","—","–","«","»","""","'","(",")"},"")))</f>
        <v/>
      </c>
      <c r="O15" s="18">
        <f>IF(AND(I15&lt;=35,J15&lt;=15,K15&lt;=30,L15&lt;=15,M15&lt;=81,N15&lt;=15,LEN(G15)&lt;=20),"OK","проверить")</f>
        <v/>
      </c>
    </row>
    <row r="16">
      <c r="A16" s="18" t="inlineStr">
        <is>
          <t>K3</t>
        </is>
      </c>
      <c r="B16" s="4" t="inlineStr">
        <is>
          <t>ЕГЭ русский язык</t>
        </is>
      </c>
      <c r="C16" s="18" t="inlineStr">
        <is>
          <t>B</t>
        </is>
      </c>
      <c r="D16" s="4" t="inlineStr">
        <is>
          <t>ИИ-репетитор: русский язык ЕГЭ</t>
        </is>
      </c>
      <c r="E16" s="4" t="inlineStr">
        <is>
          <t>От 1990 ₽/мес, безлимит</t>
        </is>
      </c>
      <c r="F16" s="4" t="inlineStr">
        <is>
          <t>Безлимитный ИИ-репетитор на 2 предмета от 1990 ₽ в месяц. Бесплатный старт есть</t>
        </is>
      </c>
      <c r="G16" s="4" t="inlineStr">
        <is>
          <t>Русский-язык-ЕГЭ</t>
        </is>
      </c>
      <c r="H16" s="10" t="inlineStr">
        <is>
          <t>https://ege-tutor.ru/?utm_source=yandex&amp;utm_medium=cpc&amp;utm_campaign=k3_rus&amp;utm_content={ad_id}&amp;utm_term={keyword}</t>
        </is>
      </c>
      <c r="I16" s="18">
        <f>LEN(D16)-J16</f>
        <v/>
      </c>
      <c r="J16" s="18">
        <f>SUMPRODUCT(LEN(D16)-LEN(SUBSTITUTE(D16,{".",",","!","?",":",";","—","–","«","»","""","'","(",")"},"")))</f>
        <v/>
      </c>
      <c r="K16" s="18">
        <f>LEN(E16)-L16</f>
        <v/>
      </c>
      <c r="L16" s="18">
        <f>SUMPRODUCT(LEN(E16)-LEN(SUBSTITUTE(E16,{".",",","!","?",":",";","—","–","«","»","""","'","(",")"},"")))</f>
        <v/>
      </c>
      <c r="M16" s="18">
        <f>LEN(F16)-N16</f>
        <v/>
      </c>
      <c r="N16" s="18">
        <f>SUMPRODUCT(LEN(F16)-LEN(SUBSTITUTE(F16,{".",",","!","?",":",";","—","–","«","»","""","'","(",")"},"")))</f>
        <v/>
      </c>
      <c r="O16" s="18">
        <f>IF(AND(I16&lt;=35,J16&lt;=15,K16&lt;=30,L16&lt;=15,M16&lt;=81,N16&lt;=15,LEN(G16)&lt;=20),"OK","проверить")</f>
        <v/>
      </c>
    </row>
    <row r="17">
      <c r="A17" s="18" t="inlineStr">
        <is>
          <t>K3</t>
        </is>
      </c>
      <c r="B17" s="4" t="inlineStr">
        <is>
          <t>ЕГЭ обществознание</t>
        </is>
      </c>
      <c r="C17" s="18" t="inlineStr">
        <is>
          <t>A</t>
        </is>
      </c>
      <c r="D17" s="4" t="inlineStr">
        <is>
          <t>ЕГЭ обществознание: тренажёр с ИИ</t>
        </is>
      </c>
      <c r="E17" s="4" t="inlineStr">
        <is>
          <t>Объясняет, а не решает</t>
        </is>
      </c>
      <c r="F17" s="4" t="inlineStr">
        <is>
          <t>Задания по обществознанию: разбор по шагам и подсказки. Начните бесплатно</t>
        </is>
      </c>
      <c r="G17" s="4" t="inlineStr">
        <is>
          <t>Обществознание-ЕГЭ</t>
        </is>
      </c>
      <c r="H17" s="10" t="inlineStr">
        <is>
          <t>https://ege-tutor.ru/?utm_source=yandex&amp;utm_medium=cpc&amp;utm_campaign=k3_soc&amp;utm_content={ad_id}&amp;utm_term={keyword}</t>
        </is>
      </c>
      <c r="I17" s="18">
        <f>LEN(D17)-J17</f>
        <v/>
      </c>
      <c r="J17" s="18">
        <f>SUMPRODUCT(LEN(D17)-LEN(SUBSTITUTE(D17,{".",",","!","?",":",";","—","–","«","»","""","'","(",")"},"")))</f>
        <v/>
      </c>
      <c r="K17" s="18">
        <f>LEN(E17)-L17</f>
        <v/>
      </c>
      <c r="L17" s="18">
        <f>SUMPRODUCT(LEN(E17)-LEN(SUBSTITUTE(E17,{".",",","!","?",":",";","—","–","«","»","""","'","(",")"},"")))</f>
        <v/>
      </c>
      <c r="M17" s="18">
        <f>LEN(F17)-N17</f>
        <v/>
      </c>
      <c r="N17" s="18">
        <f>SUMPRODUCT(LEN(F17)-LEN(SUBSTITUTE(F17,{".",",","!","?",":",";","—","–","«","»","""","'","(",")"},"")))</f>
        <v/>
      </c>
      <c r="O17" s="18">
        <f>IF(AND(I17&lt;=35,J17&lt;=15,K17&lt;=30,L17&lt;=15,M17&lt;=81,N17&lt;=15,LEN(G17)&lt;=20),"OK","проверить")</f>
        <v/>
      </c>
    </row>
    <row r="18">
      <c r="A18" s="18" t="inlineStr">
        <is>
          <t>K3</t>
        </is>
      </c>
      <c r="B18" s="4" t="inlineStr">
        <is>
          <t>ЕГЭ обществознание</t>
        </is>
      </c>
      <c r="C18" s="18" t="inlineStr">
        <is>
          <t>B</t>
        </is>
      </c>
      <c r="D18" s="4" t="inlineStr">
        <is>
          <t>ИИ-репетитор: обществознание ЕГЭ</t>
        </is>
      </c>
      <c r="E18" s="4" t="inlineStr">
        <is>
          <t>От 1990 ₽/мес, безлимит</t>
        </is>
      </c>
      <c r="F18" s="4" t="inlineStr">
        <is>
          <t>Безлимитный ИИ-репетитор на 2 предмета от 1990 ₽ в месяц. Бесплатный старт есть</t>
        </is>
      </c>
      <c r="G18" s="4" t="inlineStr">
        <is>
          <t>Обществознание-ЕГЭ</t>
        </is>
      </c>
      <c r="H18" s="10" t="inlineStr">
        <is>
          <t>https://ege-tutor.ru/?utm_source=yandex&amp;utm_medium=cpc&amp;utm_campaign=k3_soc&amp;utm_content={ad_id}&amp;utm_term={keyword}</t>
        </is>
      </c>
      <c r="I18" s="18">
        <f>LEN(D18)-J18</f>
        <v/>
      </c>
      <c r="J18" s="18">
        <f>SUMPRODUCT(LEN(D18)-LEN(SUBSTITUTE(D18,{".",",","!","?",":",";","—","–","«","»","""","'","(",")"},"")))</f>
        <v/>
      </c>
      <c r="K18" s="18">
        <f>LEN(E18)-L18</f>
        <v/>
      </c>
      <c r="L18" s="18">
        <f>SUMPRODUCT(LEN(E18)-LEN(SUBSTITUTE(E18,{".",",","!","?",":",";","—","–","«","»","""","'","(",")"},"")))</f>
        <v/>
      </c>
      <c r="M18" s="18">
        <f>LEN(F18)-N18</f>
        <v/>
      </c>
      <c r="N18" s="18">
        <f>SUMPRODUCT(LEN(F18)-LEN(SUBSTITUTE(F18,{".",",","!","?",":",";","—","–","«","»","""","'","(",")"},"")))</f>
        <v/>
      </c>
      <c r="O18" s="18">
        <f>IF(AND(I18&lt;=35,J18&lt;=15,K18&lt;=30,L18&lt;=15,M18&lt;=81,N18&lt;=15,LEN(G18)&lt;=20),"OK","проверить")</f>
        <v/>
      </c>
    </row>
    <row r="19">
      <c r="A19" s="18" t="inlineStr">
        <is>
          <t>K3</t>
        </is>
      </c>
      <c r="B19" s="4" t="inlineStr">
        <is>
          <t>ЕГЭ физика</t>
        </is>
      </c>
      <c r="C19" s="18" t="inlineStr">
        <is>
          <t>A</t>
        </is>
      </c>
      <c r="D19" s="4" t="inlineStr">
        <is>
          <t>ЕГЭ физика: тренажёр с ИИ</t>
        </is>
      </c>
      <c r="E19" s="4" t="inlineStr">
        <is>
          <t>Объясняет, а не решает</t>
        </is>
      </c>
      <c r="F19" s="4" t="inlineStr">
        <is>
          <t>Задания по физике: разбор по шагам и подсказки. Начните бесплатно</t>
        </is>
      </c>
      <c r="G19" s="4" t="inlineStr">
        <is>
          <t>Физика-ЕГЭ</t>
        </is>
      </c>
      <c r="H19" s="10" t="inlineStr">
        <is>
          <t>https://ege-tutor.ru/?utm_source=yandex&amp;utm_medium=cpc&amp;utm_campaign=k3_fiz&amp;utm_content={ad_id}&amp;utm_term={keyword}</t>
        </is>
      </c>
      <c r="I19" s="18">
        <f>LEN(D19)-J19</f>
        <v/>
      </c>
      <c r="J19" s="18">
        <f>SUMPRODUCT(LEN(D19)-LEN(SUBSTITUTE(D19,{".",",","!","?",":",";","—","–","«","»","""","'","(",")"},"")))</f>
        <v/>
      </c>
      <c r="K19" s="18">
        <f>LEN(E19)-L19</f>
        <v/>
      </c>
      <c r="L19" s="18">
        <f>SUMPRODUCT(LEN(E19)-LEN(SUBSTITUTE(E19,{".",",","!","?",":",";","—","–","«","»","""","'","(",")"},"")))</f>
        <v/>
      </c>
      <c r="M19" s="18">
        <f>LEN(F19)-N19</f>
        <v/>
      </c>
      <c r="N19" s="18">
        <f>SUMPRODUCT(LEN(F19)-LEN(SUBSTITUTE(F19,{".",",","!","?",":",";","—","–","«","»","""","'","(",")"},"")))</f>
        <v/>
      </c>
      <c r="O19" s="18">
        <f>IF(AND(I19&lt;=35,J19&lt;=15,K19&lt;=30,L19&lt;=15,M19&lt;=81,N19&lt;=15,LEN(G19)&lt;=20),"OK","проверить")</f>
        <v/>
      </c>
    </row>
    <row r="20">
      <c r="A20" s="18" t="inlineStr">
        <is>
          <t>K3</t>
        </is>
      </c>
      <c r="B20" s="4" t="inlineStr">
        <is>
          <t>ЕГЭ физика</t>
        </is>
      </c>
      <c r="C20" s="18" t="inlineStr">
        <is>
          <t>B</t>
        </is>
      </c>
      <c r="D20" s="4" t="inlineStr">
        <is>
          <t>ИИ-репетитор: физика ЕГЭ</t>
        </is>
      </c>
      <c r="E20" s="4" t="inlineStr">
        <is>
          <t>От 1990 ₽/мес, безлимит</t>
        </is>
      </c>
      <c r="F20" s="4" t="inlineStr">
        <is>
          <t>Безлимитный ИИ-репетитор на 2 предмета от 1990 ₽ в месяц. Бесплатный старт есть</t>
        </is>
      </c>
      <c r="G20" s="4" t="inlineStr">
        <is>
          <t>Физика-ЕГЭ</t>
        </is>
      </c>
      <c r="H20" s="10" t="inlineStr">
        <is>
          <t>https://ege-tutor.ru/?utm_source=yandex&amp;utm_medium=cpc&amp;utm_campaign=k3_fiz&amp;utm_content={ad_id}&amp;utm_term={keyword}</t>
        </is>
      </c>
      <c r="I20" s="18">
        <f>LEN(D20)-J20</f>
        <v/>
      </c>
      <c r="J20" s="18">
        <f>SUMPRODUCT(LEN(D20)-LEN(SUBSTITUTE(D20,{".",",","!","?",":",";","—","–","«","»","""","'","(",")"},"")))</f>
        <v/>
      </c>
      <c r="K20" s="18">
        <f>LEN(E20)-L20</f>
        <v/>
      </c>
      <c r="L20" s="18">
        <f>SUMPRODUCT(LEN(E20)-LEN(SUBSTITUTE(E20,{".",",","!","?",":",";","—","–","«","»","""","'","(",")"},"")))</f>
        <v/>
      </c>
      <c r="M20" s="18">
        <f>LEN(F20)-N20</f>
        <v/>
      </c>
      <c r="N20" s="18">
        <f>SUMPRODUCT(LEN(F20)-LEN(SUBSTITUTE(F20,{".",",","!","?",":",";","—","–","«","»","""","'","(",")"},"")))</f>
        <v/>
      </c>
      <c r="O20" s="18">
        <f>IF(AND(I20&lt;=35,J20&lt;=15,K20&lt;=30,L20&lt;=15,M20&lt;=81,N20&lt;=15,LEN(G20)&lt;=20),"OK","проверить")</f>
        <v/>
      </c>
    </row>
    <row r="21">
      <c r="A21" s="18" t="inlineStr">
        <is>
          <t>K3</t>
        </is>
      </c>
      <c r="B21" s="4" t="inlineStr">
        <is>
          <t>ЕГЭ биология</t>
        </is>
      </c>
      <c r="C21" s="18" t="inlineStr">
        <is>
          <t>A</t>
        </is>
      </c>
      <c r="D21" s="4" t="inlineStr">
        <is>
          <t>ЕГЭ биология: тренажёр с ИИ</t>
        </is>
      </c>
      <c r="E21" s="4" t="inlineStr">
        <is>
          <t>Объясняет, а не решает</t>
        </is>
      </c>
      <c r="F21" s="4" t="inlineStr">
        <is>
          <t>Задания по биологии: разбор по шагам и подсказки. Начните бесплатно</t>
        </is>
      </c>
      <c r="G21" s="4" t="inlineStr">
        <is>
          <t>Биология-ЕГЭ</t>
        </is>
      </c>
      <c r="H21" s="10" t="inlineStr">
        <is>
          <t>https://ege-tutor.ru/?utm_source=yandex&amp;utm_medium=cpc&amp;utm_campaign=k3_bio&amp;utm_content={ad_id}&amp;utm_term={keyword}</t>
        </is>
      </c>
      <c r="I21" s="18">
        <f>LEN(D21)-J21</f>
        <v/>
      </c>
      <c r="J21" s="18">
        <f>SUMPRODUCT(LEN(D21)-LEN(SUBSTITUTE(D21,{".",",","!","?",":",";","—","–","«","»","""","'","(",")"},"")))</f>
        <v/>
      </c>
      <c r="K21" s="18">
        <f>LEN(E21)-L21</f>
        <v/>
      </c>
      <c r="L21" s="18">
        <f>SUMPRODUCT(LEN(E21)-LEN(SUBSTITUTE(E21,{".",",","!","?",":",";","—","–","«","»","""","'","(",")"},"")))</f>
        <v/>
      </c>
      <c r="M21" s="18">
        <f>LEN(F21)-N21</f>
        <v/>
      </c>
      <c r="N21" s="18">
        <f>SUMPRODUCT(LEN(F21)-LEN(SUBSTITUTE(F21,{".",",","!","?",":",";","—","–","«","»","""","'","(",")"},"")))</f>
        <v/>
      </c>
      <c r="O21" s="18">
        <f>IF(AND(I21&lt;=35,J21&lt;=15,K21&lt;=30,L21&lt;=15,M21&lt;=81,N21&lt;=15,LEN(G21)&lt;=20),"OK","проверить")</f>
        <v/>
      </c>
    </row>
    <row r="22">
      <c r="A22" s="18" t="inlineStr">
        <is>
          <t>K3</t>
        </is>
      </c>
      <c r="B22" s="4" t="inlineStr">
        <is>
          <t>ЕГЭ биология</t>
        </is>
      </c>
      <c r="C22" s="18" t="inlineStr">
        <is>
          <t>B</t>
        </is>
      </c>
      <c r="D22" s="4" t="inlineStr">
        <is>
          <t>ИИ-репетитор: биология ЕГЭ</t>
        </is>
      </c>
      <c r="E22" s="4" t="inlineStr">
        <is>
          <t>От 1990 ₽/мес, безлимит</t>
        </is>
      </c>
      <c r="F22" s="4" t="inlineStr">
        <is>
          <t>Безлимитный ИИ-репетитор на 2 предмета от 1990 ₽ в месяц. Бесплатный старт есть</t>
        </is>
      </c>
      <c r="G22" s="4" t="inlineStr">
        <is>
          <t>Биология-ЕГЭ</t>
        </is>
      </c>
      <c r="H22" s="10" t="inlineStr">
        <is>
          <t>https://ege-tutor.ru/?utm_source=yandex&amp;utm_medium=cpc&amp;utm_campaign=k3_bio&amp;utm_content={ad_id}&amp;utm_term={keyword}</t>
        </is>
      </c>
      <c r="I22" s="18">
        <f>LEN(D22)-J22</f>
        <v/>
      </c>
      <c r="J22" s="18">
        <f>SUMPRODUCT(LEN(D22)-LEN(SUBSTITUTE(D22,{".",",","!","?",":",";","—","–","«","»","""","'","(",")"},"")))</f>
        <v/>
      </c>
      <c r="K22" s="18">
        <f>LEN(E22)-L22</f>
        <v/>
      </c>
      <c r="L22" s="18">
        <f>SUMPRODUCT(LEN(E22)-LEN(SUBSTITUTE(E22,{".",",","!","?",":",";","—","–","«","»","""","'","(",")"},"")))</f>
        <v/>
      </c>
      <c r="M22" s="18">
        <f>LEN(F22)-N22</f>
        <v/>
      </c>
      <c r="N22" s="18">
        <f>SUMPRODUCT(LEN(F22)-LEN(SUBSTITUTE(F22,{".",",","!","?",":",";","—","–","«","»","""","'","(",")"},"")))</f>
        <v/>
      </c>
      <c r="O22" s="18">
        <f>IF(AND(I22&lt;=35,J22&lt;=15,K22&lt;=30,L22&lt;=15,M22&lt;=81,N22&lt;=15,LEN(G22)&lt;=20),"OK","проверить")</f>
        <v/>
      </c>
    </row>
    <row r="23">
      <c r="A23" s="18" t="inlineStr">
        <is>
          <t>K3</t>
        </is>
      </c>
      <c r="B23" s="4" t="inlineStr">
        <is>
          <t>ЕГЭ химия</t>
        </is>
      </c>
      <c r="C23" s="18" t="inlineStr">
        <is>
          <t>A</t>
        </is>
      </c>
      <c r="D23" s="4" t="inlineStr">
        <is>
          <t>ЕГЭ химия: тренажёр с ИИ</t>
        </is>
      </c>
      <c r="E23" s="4" t="inlineStr">
        <is>
          <t>Объясняет, а не решает</t>
        </is>
      </c>
      <c r="F23" s="4" t="inlineStr">
        <is>
          <t>Задания по химии: разбор по шагам и подсказки. Начните бесплатно</t>
        </is>
      </c>
      <c r="G23" s="4" t="inlineStr">
        <is>
          <t>Химия-ЕГЭ</t>
        </is>
      </c>
      <c r="H23" s="10" t="inlineStr">
        <is>
          <t>https://ege-tutor.ru/?utm_source=yandex&amp;utm_medium=cpc&amp;utm_campaign=k3_chem&amp;utm_content={ad_id}&amp;utm_term={keyword}</t>
        </is>
      </c>
      <c r="I23" s="18">
        <f>LEN(D23)-J23</f>
        <v/>
      </c>
      <c r="J23" s="18">
        <f>SUMPRODUCT(LEN(D23)-LEN(SUBSTITUTE(D23,{".",",","!","?",":",";","—","–","«","»","""","'","(",")"},"")))</f>
        <v/>
      </c>
      <c r="K23" s="18">
        <f>LEN(E23)-L23</f>
        <v/>
      </c>
      <c r="L23" s="18">
        <f>SUMPRODUCT(LEN(E23)-LEN(SUBSTITUTE(E23,{".",",","!","?",":",";","—","–","«","»","""","'","(",")"},"")))</f>
        <v/>
      </c>
      <c r="M23" s="18">
        <f>LEN(F23)-N23</f>
        <v/>
      </c>
      <c r="N23" s="18">
        <f>SUMPRODUCT(LEN(F23)-LEN(SUBSTITUTE(F23,{".",",","!","?",":",";","—","–","«","»","""","'","(",")"},"")))</f>
        <v/>
      </c>
      <c r="O23" s="18">
        <f>IF(AND(I23&lt;=35,J23&lt;=15,K23&lt;=30,L23&lt;=15,M23&lt;=81,N23&lt;=15,LEN(G23)&lt;=20),"OK","проверить")</f>
        <v/>
      </c>
    </row>
    <row r="24">
      <c r="A24" s="18" t="inlineStr">
        <is>
          <t>K3</t>
        </is>
      </c>
      <c r="B24" s="4" t="inlineStr">
        <is>
          <t>ЕГЭ химия</t>
        </is>
      </c>
      <c r="C24" s="18" t="inlineStr">
        <is>
          <t>B</t>
        </is>
      </c>
      <c r="D24" s="4" t="inlineStr">
        <is>
          <t>ИИ-репетитор: химия ЕГЭ</t>
        </is>
      </c>
      <c r="E24" s="4" t="inlineStr">
        <is>
          <t>От 1990 ₽/мес, безлимит</t>
        </is>
      </c>
      <c r="F24" s="4" t="inlineStr">
        <is>
          <t>Безлимитный ИИ-репетитор на 2 предмета от 1990 ₽ в месяц. Бесплатный старт есть</t>
        </is>
      </c>
      <c r="G24" s="4" t="inlineStr">
        <is>
          <t>Химия-ЕГЭ</t>
        </is>
      </c>
      <c r="H24" s="10" t="inlineStr">
        <is>
          <t>https://ege-tutor.ru/?utm_source=yandex&amp;utm_medium=cpc&amp;utm_campaign=k3_chem&amp;utm_content={ad_id}&amp;utm_term={keyword}</t>
        </is>
      </c>
      <c r="I24" s="18">
        <f>LEN(D24)-J24</f>
        <v/>
      </c>
      <c r="J24" s="18">
        <f>SUMPRODUCT(LEN(D24)-LEN(SUBSTITUTE(D24,{".",",","!","?",":",";","—","–","«","»","""","'","(",")"},"")))</f>
        <v/>
      </c>
      <c r="K24" s="18">
        <f>LEN(E24)-L24</f>
        <v/>
      </c>
      <c r="L24" s="18">
        <f>SUMPRODUCT(LEN(E24)-LEN(SUBSTITUTE(E24,{".",",","!","?",":",";","—","–","«","»","""","'","(",")"},"")))</f>
        <v/>
      </c>
      <c r="M24" s="18">
        <f>LEN(F24)-N24</f>
        <v/>
      </c>
      <c r="N24" s="18">
        <f>SUMPRODUCT(LEN(F24)-LEN(SUBSTITUTE(F24,{".",",","!","?",":",";","—","–","«","»","""","'","(",")"},"")))</f>
        <v/>
      </c>
      <c r="O24" s="18">
        <f>IF(AND(I24&lt;=35,J24&lt;=15,K24&lt;=30,L24&lt;=15,M24&lt;=81,N24&lt;=15,LEN(G24)&lt;=20),"OK","проверить")</f>
        <v/>
      </c>
    </row>
    <row r="25">
      <c r="A25" s="18" t="inlineStr">
        <is>
          <t>K3</t>
        </is>
      </c>
      <c r="B25" s="4" t="inlineStr">
        <is>
          <t>ЕГЭ история</t>
        </is>
      </c>
      <c r="C25" s="18" t="inlineStr">
        <is>
          <t>A</t>
        </is>
      </c>
      <c r="D25" s="4" t="inlineStr">
        <is>
          <t>ЕГЭ история: тренажёр с ИИ</t>
        </is>
      </c>
      <c r="E25" s="4" t="inlineStr">
        <is>
          <t>Объясняет, а не решает</t>
        </is>
      </c>
      <c r="F25" s="4" t="inlineStr">
        <is>
          <t>Задания по истории: разбор по шагам и подсказки. Начните бесплатно</t>
        </is>
      </c>
      <c r="G25" s="4" t="inlineStr">
        <is>
          <t>История-ЕГЭ</t>
        </is>
      </c>
      <c r="H25" s="10" t="inlineStr">
        <is>
          <t>https://ege-tutor.ru/?utm_source=yandex&amp;utm_medium=cpc&amp;utm_campaign=k3_hist&amp;utm_content={ad_id}&amp;utm_term={keyword}</t>
        </is>
      </c>
      <c r="I25" s="18">
        <f>LEN(D25)-J25</f>
        <v/>
      </c>
      <c r="J25" s="18">
        <f>SUMPRODUCT(LEN(D25)-LEN(SUBSTITUTE(D25,{".",",","!","?",":",";","—","–","«","»","""","'","(",")"},"")))</f>
        <v/>
      </c>
      <c r="K25" s="18">
        <f>LEN(E25)-L25</f>
        <v/>
      </c>
      <c r="L25" s="18">
        <f>SUMPRODUCT(LEN(E25)-LEN(SUBSTITUTE(E25,{".",",","!","?",":",";","—","–","«","»","""","'","(",")"},"")))</f>
        <v/>
      </c>
      <c r="M25" s="18">
        <f>LEN(F25)-N25</f>
        <v/>
      </c>
      <c r="N25" s="18">
        <f>SUMPRODUCT(LEN(F25)-LEN(SUBSTITUTE(F25,{".",",","!","?",":",";","—","–","«","»","""","'","(",")"},"")))</f>
        <v/>
      </c>
      <c r="O25" s="18">
        <f>IF(AND(I25&lt;=35,J25&lt;=15,K25&lt;=30,L25&lt;=15,M25&lt;=81,N25&lt;=15,LEN(G25)&lt;=20),"OK","проверить")</f>
        <v/>
      </c>
    </row>
    <row r="26">
      <c r="A26" s="18" t="inlineStr">
        <is>
          <t>K3</t>
        </is>
      </c>
      <c r="B26" s="4" t="inlineStr">
        <is>
          <t>ЕГЭ история</t>
        </is>
      </c>
      <c r="C26" s="18" t="inlineStr">
        <is>
          <t>B</t>
        </is>
      </c>
      <c r="D26" s="4" t="inlineStr">
        <is>
          <t>ИИ-репетитор: история ЕГЭ</t>
        </is>
      </c>
      <c r="E26" s="4" t="inlineStr">
        <is>
          <t>От 1990 ₽/мес, безлимит</t>
        </is>
      </c>
      <c r="F26" s="4" t="inlineStr">
        <is>
          <t>Безлимитный ИИ-репетитор на 2 предмета от 1990 ₽ в месяц. Бесплатный старт есть</t>
        </is>
      </c>
      <c r="G26" s="4" t="inlineStr">
        <is>
          <t>История-ЕГЭ</t>
        </is>
      </c>
      <c r="H26" s="10" t="inlineStr">
        <is>
          <t>https://ege-tutor.ru/?utm_source=yandex&amp;utm_medium=cpc&amp;utm_campaign=k3_hist&amp;utm_content={ad_id}&amp;utm_term={keyword}</t>
        </is>
      </c>
      <c r="I26" s="18">
        <f>LEN(D26)-J26</f>
        <v/>
      </c>
      <c r="J26" s="18">
        <f>SUMPRODUCT(LEN(D26)-LEN(SUBSTITUTE(D26,{".",",","!","?",":",";","—","–","«","»","""","'","(",")"},"")))</f>
        <v/>
      </c>
      <c r="K26" s="18">
        <f>LEN(E26)-L26</f>
        <v/>
      </c>
      <c r="L26" s="18">
        <f>SUMPRODUCT(LEN(E26)-LEN(SUBSTITUTE(E26,{".",",","!","?",":",";","—","–","«","»","""","'","(",")"},"")))</f>
        <v/>
      </c>
      <c r="M26" s="18">
        <f>LEN(F26)-N26</f>
        <v/>
      </c>
      <c r="N26" s="18">
        <f>SUMPRODUCT(LEN(F26)-LEN(SUBSTITUTE(F26,{".",",","!","?",":",";","—","–","«","»","""","'","(",")"},"")))</f>
        <v/>
      </c>
      <c r="O26" s="18">
        <f>IF(AND(I26&lt;=35,J26&lt;=15,K26&lt;=30,L26&lt;=15,M26&lt;=81,N26&lt;=15,LEN(G26)&lt;=20),"OK","проверить")</f>
        <v/>
      </c>
    </row>
    <row r="27">
      <c r="A27" s="18" t="inlineStr">
        <is>
          <t>K3</t>
        </is>
      </c>
      <c r="B27" s="4" t="inlineStr">
        <is>
          <t>ЕГЭ английский</t>
        </is>
      </c>
      <c r="C27" s="18" t="inlineStr">
        <is>
          <t>A</t>
        </is>
      </c>
      <c r="D27" s="4" t="inlineStr">
        <is>
          <t>ЕГЭ английский: тренажёр с ИИ</t>
        </is>
      </c>
      <c r="E27" s="4" t="inlineStr">
        <is>
          <t>Объясняет, а не решает</t>
        </is>
      </c>
      <c r="F27" s="4" t="inlineStr">
        <is>
          <t>Задания по английскому языку: разбор по шагам и подсказки. Начните бесплатно</t>
        </is>
      </c>
      <c r="G27" s="4" t="inlineStr">
        <is>
          <t>Английский-ЕГЭ</t>
        </is>
      </c>
      <c r="H27" s="10" t="inlineStr">
        <is>
          <t>https://ege-tutor.ru/?utm_source=yandex&amp;utm_medium=cpc&amp;utm_campaign=k3_eng&amp;utm_content={ad_id}&amp;utm_term={keyword}</t>
        </is>
      </c>
      <c r="I27" s="18">
        <f>LEN(D27)-J27</f>
        <v/>
      </c>
      <c r="J27" s="18">
        <f>SUMPRODUCT(LEN(D27)-LEN(SUBSTITUTE(D27,{".",",","!","?",":",";","—","–","«","»","""","'","(",")"},"")))</f>
        <v/>
      </c>
      <c r="K27" s="18">
        <f>LEN(E27)-L27</f>
        <v/>
      </c>
      <c r="L27" s="18">
        <f>SUMPRODUCT(LEN(E27)-LEN(SUBSTITUTE(E27,{".",",","!","?",":",";","—","–","«","»","""","'","(",")"},"")))</f>
        <v/>
      </c>
      <c r="M27" s="18">
        <f>LEN(F27)-N27</f>
        <v/>
      </c>
      <c r="N27" s="18">
        <f>SUMPRODUCT(LEN(F27)-LEN(SUBSTITUTE(F27,{".",",","!","?",":",";","—","–","«","»","""","'","(",")"},"")))</f>
        <v/>
      </c>
      <c r="O27" s="18">
        <f>IF(AND(I27&lt;=35,J27&lt;=15,K27&lt;=30,L27&lt;=15,M27&lt;=81,N27&lt;=15,LEN(G27)&lt;=20),"OK","проверить")</f>
        <v/>
      </c>
    </row>
    <row r="28">
      <c r="A28" s="18" t="inlineStr">
        <is>
          <t>K3</t>
        </is>
      </c>
      <c r="B28" s="4" t="inlineStr">
        <is>
          <t>ЕГЭ английский</t>
        </is>
      </c>
      <c r="C28" s="18" t="inlineStr">
        <is>
          <t>B</t>
        </is>
      </c>
      <c r="D28" s="4" t="inlineStr">
        <is>
          <t>ИИ-репетитор: английский ЕГЭ</t>
        </is>
      </c>
      <c r="E28" s="4" t="inlineStr">
        <is>
          <t>От 1990 ₽/мес, безлимит</t>
        </is>
      </c>
      <c r="F28" s="4" t="inlineStr">
        <is>
          <t>Безлимитный ИИ-репетитор на 2 предмета от 1990 ₽ в месяц. Бесплатный старт есть</t>
        </is>
      </c>
      <c r="G28" s="4" t="inlineStr">
        <is>
          <t>Английский-ЕГЭ</t>
        </is>
      </c>
      <c r="H28" s="10" t="inlineStr">
        <is>
          <t>https://ege-tutor.ru/?utm_source=yandex&amp;utm_medium=cpc&amp;utm_campaign=k3_eng&amp;utm_content={ad_id}&amp;utm_term={keyword}</t>
        </is>
      </c>
      <c r="I28" s="18">
        <f>LEN(D28)-J28</f>
        <v/>
      </c>
      <c r="J28" s="18">
        <f>SUMPRODUCT(LEN(D28)-LEN(SUBSTITUTE(D28,{".",",","!","?",":",";","—","–","«","»","""","'","(",")"},"")))</f>
        <v/>
      </c>
      <c r="K28" s="18">
        <f>LEN(E28)-L28</f>
        <v/>
      </c>
      <c r="L28" s="18">
        <f>SUMPRODUCT(LEN(E28)-LEN(SUBSTITUTE(E28,{".",",","!","?",":",";","—","–","«","»","""","'","(",")"},"")))</f>
        <v/>
      </c>
      <c r="M28" s="18">
        <f>LEN(F28)-N28</f>
        <v/>
      </c>
      <c r="N28" s="18">
        <f>SUMPRODUCT(LEN(F28)-LEN(SUBSTITUTE(F28,{".",",","!","?",":",";","—","–","«","»","""","'","(",")"},"")))</f>
        <v/>
      </c>
      <c r="O28" s="18">
        <f>IF(AND(I28&lt;=35,J28&lt;=15,K28&lt;=30,L28&lt;=15,M28&lt;=81,N28&lt;=15,LEN(G28)&lt;=20),"OK","проверить")</f>
        <v/>
      </c>
    </row>
    <row r="29">
      <c r="A29" s="18" t="inlineStr">
        <is>
          <t>K3</t>
        </is>
      </c>
      <c r="B29" s="4" t="inlineStr">
        <is>
          <t>ЕГЭ литература</t>
        </is>
      </c>
      <c r="C29" s="18" t="inlineStr">
        <is>
          <t>A</t>
        </is>
      </c>
      <c r="D29" s="4" t="inlineStr">
        <is>
          <t>ЕГЭ литература: тренажёр с ИИ</t>
        </is>
      </c>
      <c r="E29" s="4" t="inlineStr">
        <is>
          <t>Объясняет, а не решает</t>
        </is>
      </c>
      <c r="F29" s="4" t="inlineStr">
        <is>
          <t>Задания по литературе: разбор по шагам и подсказки. Начните бесплатно</t>
        </is>
      </c>
      <c r="G29" s="4" t="inlineStr">
        <is>
          <t>Литература-ЕГЭ</t>
        </is>
      </c>
      <c r="H29" s="10" t="inlineStr">
        <is>
          <t>https://ege-tutor.ru/?utm_source=yandex&amp;utm_medium=cpc&amp;utm_campaign=k3_lit&amp;utm_content={ad_id}&amp;utm_term={keyword}</t>
        </is>
      </c>
      <c r="I29" s="18">
        <f>LEN(D29)-J29</f>
        <v/>
      </c>
      <c r="J29" s="18">
        <f>SUMPRODUCT(LEN(D29)-LEN(SUBSTITUTE(D29,{".",",","!","?",":",";","—","–","«","»","""","'","(",")"},"")))</f>
        <v/>
      </c>
      <c r="K29" s="18">
        <f>LEN(E29)-L29</f>
        <v/>
      </c>
      <c r="L29" s="18">
        <f>SUMPRODUCT(LEN(E29)-LEN(SUBSTITUTE(E29,{".",",","!","?",":",";","—","–","«","»","""","'","(",")"},"")))</f>
        <v/>
      </c>
      <c r="M29" s="18">
        <f>LEN(F29)-N29</f>
        <v/>
      </c>
      <c r="N29" s="18">
        <f>SUMPRODUCT(LEN(F29)-LEN(SUBSTITUTE(F29,{".",",","!","?",":",";","—","–","«","»","""","'","(",")"},"")))</f>
        <v/>
      </c>
      <c r="O29" s="18">
        <f>IF(AND(I29&lt;=35,J29&lt;=15,K29&lt;=30,L29&lt;=15,M29&lt;=81,N29&lt;=15,LEN(G29)&lt;=20),"OK","проверить")</f>
        <v/>
      </c>
    </row>
    <row r="30">
      <c r="A30" s="18" t="inlineStr">
        <is>
          <t>K3</t>
        </is>
      </c>
      <c r="B30" s="4" t="inlineStr">
        <is>
          <t>ЕГЭ литература</t>
        </is>
      </c>
      <c r="C30" s="18" t="inlineStr">
        <is>
          <t>B</t>
        </is>
      </c>
      <c r="D30" s="4" t="inlineStr">
        <is>
          <t>ИИ-репетитор: литература ЕГЭ</t>
        </is>
      </c>
      <c r="E30" s="4" t="inlineStr">
        <is>
          <t>От 1990 ₽/мес, безлимит</t>
        </is>
      </c>
      <c r="F30" s="4" t="inlineStr">
        <is>
          <t>Безлимитный ИИ-репетитор на 2 предмета от 1990 ₽ в месяц. Бесплатный старт есть</t>
        </is>
      </c>
      <c r="G30" s="4" t="inlineStr">
        <is>
          <t>Литература-ЕГЭ</t>
        </is>
      </c>
      <c r="H30" s="10" t="inlineStr">
        <is>
          <t>https://ege-tutor.ru/?utm_source=yandex&amp;utm_medium=cpc&amp;utm_campaign=k3_lit&amp;utm_content={ad_id}&amp;utm_term={keyword}</t>
        </is>
      </c>
      <c r="I30" s="18">
        <f>LEN(D30)-J30</f>
        <v/>
      </c>
      <c r="J30" s="18">
        <f>SUMPRODUCT(LEN(D30)-LEN(SUBSTITUTE(D30,{".",",","!","?",":",";","—","–","«","»","""","'","(",")"},"")))</f>
        <v/>
      </c>
      <c r="K30" s="18">
        <f>LEN(E30)-L30</f>
        <v/>
      </c>
      <c r="L30" s="18">
        <f>SUMPRODUCT(LEN(E30)-LEN(SUBSTITUTE(E30,{".",",","!","?",":",";","—","–","«","»","""","'","(",")"},"")))</f>
        <v/>
      </c>
      <c r="M30" s="18">
        <f>LEN(F30)-N30</f>
        <v/>
      </c>
      <c r="N30" s="18">
        <f>SUMPRODUCT(LEN(F30)-LEN(SUBSTITUTE(F30,{".",",","!","?",":",";","—","–","«","»","""","'","(",")"},"")))</f>
        <v/>
      </c>
      <c r="O30" s="18">
        <f>IF(AND(I30&lt;=35,J30&lt;=15,K30&lt;=30,L30&lt;=15,M30&lt;=81,N30&lt;=15,LEN(G30)&lt;=20),"OK","проверить")</f>
        <v/>
      </c>
    </row>
    <row r="31">
      <c r="A31" s="18" t="inlineStr">
        <is>
          <t>K3</t>
        </is>
      </c>
      <c r="B31" s="4" t="inlineStr">
        <is>
          <t>ЕГЭ география</t>
        </is>
      </c>
      <c r="C31" s="18" t="inlineStr">
        <is>
          <t>A</t>
        </is>
      </c>
      <c r="D31" s="4" t="inlineStr">
        <is>
          <t>ЕГЭ география: тренажёр с ИИ</t>
        </is>
      </c>
      <c r="E31" s="4" t="inlineStr">
        <is>
          <t>Объясняет, а не решает</t>
        </is>
      </c>
      <c r="F31" s="4" t="inlineStr">
        <is>
          <t>Задания по географии: разбор по шагам и подсказки. Начните бесплатно</t>
        </is>
      </c>
      <c r="G31" s="4" t="inlineStr">
        <is>
          <t>География-ЕГЭ</t>
        </is>
      </c>
      <c r="H31" s="10" t="inlineStr">
        <is>
          <t>https://ege-tutor.ru/?utm_source=yandex&amp;utm_medium=cpc&amp;utm_campaign=k3_geo&amp;utm_content={ad_id}&amp;utm_term={keyword}</t>
        </is>
      </c>
      <c r="I31" s="18">
        <f>LEN(D31)-J31</f>
        <v/>
      </c>
      <c r="J31" s="18">
        <f>SUMPRODUCT(LEN(D31)-LEN(SUBSTITUTE(D31,{".",",","!","?",":",";","—","–","«","»","""","'","(",")"},"")))</f>
        <v/>
      </c>
      <c r="K31" s="18">
        <f>LEN(E31)-L31</f>
        <v/>
      </c>
      <c r="L31" s="18">
        <f>SUMPRODUCT(LEN(E31)-LEN(SUBSTITUTE(E31,{".",",","!","?",":",";","—","–","«","»","""","'","(",")"},"")))</f>
        <v/>
      </c>
      <c r="M31" s="18">
        <f>LEN(F31)-N31</f>
        <v/>
      </c>
      <c r="N31" s="18">
        <f>SUMPRODUCT(LEN(F31)-LEN(SUBSTITUTE(F31,{".",",","!","?",":",";","—","–","«","»","""","'","(",")"},"")))</f>
        <v/>
      </c>
      <c r="O31" s="18">
        <f>IF(AND(I31&lt;=35,J31&lt;=15,K31&lt;=30,L31&lt;=15,M31&lt;=81,N31&lt;=15,LEN(G31)&lt;=20),"OK","проверить")</f>
        <v/>
      </c>
    </row>
    <row r="32">
      <c r="A32" s="18" t="inlineStr">
        <is>
          <t>K3</t>
        </is>
      </c>
      <c r="B32" s="4" t="inlineStr">
        <is>
          <t>ЕГЭ география</t>
        </is>
      </c>
      <c r="C32" s="18" t="inlineStr">
        <is>
          <t>B</t>
        </is>
      </c>
      <c r="D32" s="4" t="inlineStr">
        <is>
          <t>ИИ-репетитор: география ЕГЭ</t>
        </is>
      </c>
      <c r="E32" s="4" t="inlineStr">
        <is>
          <t>От 1990 ₽/мес, безлимит</t>
        </is>
      </c>
      <c r="F32" s="4" t="inlineStr">
        <is>
          <t>Безлимитный ИИ-репетитор на 2 предмета от 1990 ₽ в месяц. Бесплатный старт есть</t>
        </is>
      </c>
      <c r="G32" s="4" t="inlineStr">
        <is>
          <t>География-ЕГЭ</t>
        </is>
      </c>
      <c r="H32" s="10" t="inlineStr">
        <is>
          <t>https://ege-tutor.ru/?utm_source=yandex&amp;utm_medium=cpc&amp;utm_campaign=k3_geo&amp;utm_content={ad_id}&amp;utm_term={keyword}</t>
        </is>
      </c>
      <c r="I32" s="18">
        <f>LEN(D32)-J32</f>
        <v/>
      </c>
      <c r="J32" s="18">
        <f>SUMPRODUCT(LEN(D32)-LEN(SUBSTITUTE(D32,{".",",","!","?",":",";","—","–","«","»","""","'","(",")"},"")))</f>
        <v/>
      </c>
      <c r="K32" s="18">
        <f>LEN(E32)-L32</f>
        <v/>
      </c>
      <c r="L32" s="18">
        <f>SUMPRODUCT(LEN(E32)-LEN(SUBSTITUTE(E32,{".",",","!","?",":",";","—","–","«","»","""","'","(",")"},"")))</f>
        <v/>
      </c>
      <c r="M32" s="18">
        <f>LEN(F32)-N32</f>
        <v/>
      </c>
      <c r="N32" s="18">
        <f>SUMPRODUCT(LEN(F32)-LEN(SUBSTITUTE(F32,{".",",","!","?",":",";","—","–","«","»","""","'","(",")"},"")))</f>
        <v/>
      </c>
      <c r="O32" s="18">
        <f>IF(AND(I32&lt;=35,J32&lt;=15,K32&lt;=30,L32&lt;=15,M32&lt;=81,N32&lt;=15,LEN(G32)&lt;=20),"OK","проверить")</f>
        <v/>
      </c>
    </row>
    <row r="33">
      <c r="A33" s="18" t="inlineStr">
        <is>
          <t>K4</t>
        </is>
      </c>
      <c r="B33" s="4" t="inlineStr">
        <is>
          <t>Обществознание: эссе и развёрнутые ответы</t>
        </is>
      </c>
      <c r="C33" s="18" t="inlineStr">
        <is>
          <t>A</t>
        </is>
      </c>
      <c r="D33" s="4" t="inlineStr">
        <is>
          <t>Проверка эссе по обществознанию</t>
        </is>
      </c>
      <c r="E33" s="4" t="inlineStr">
        <is>
          <t>Оценка по критериям ЕГЭ</t>
        </is>
      </c>
      <c r="F33" s="4" t="inlineStr">
        <is>
          <t>ИИ оценит ответ по критериям и подскажет, что улучшить. В платных тарифах от 1990 ₽</t>
        </is>
      </c>
      <c r="G33" s="4" t="inlineStr">
        <is>
          <t>Проверка-ответов</t>
        </is>
      </c>
      <c r="H33" s="10" t="inlineStr">
        <is>
          <t>https://ege-tutor.ru/tariffs?utm_source=yandex&amp;utm_medium=cpc&amp;utm_campaign=k4_soc&amp;utm_content={ad_id}&amp;utm_term={keyword}</t>
        </is>
      </c>
      <c r="I33" s="18">
        <f>LEN(D33)-J33</f>
        <v/>
      </c>
      <c r="J33" s="18">
        <f>SUMPRODUCT(LEN(D33)-LEN(SUBSTITUTE(D33,{".",",","!","?",":",";","—","–","«","»","""","'","(",")"},"")))</f>
        <v/>
      </c>
      <c r="K33" s="18">
        <f>LEN(E33)-L33</f>
        <v/>
      </c>
      <c r="L33" s="18">
        <f>SUMPRODUCT(LEN(E33)-LEN(SUBSTITUTE(E33,{".",",","!","?",":",";","—","–","«","»","""","'","(",")"},"")))</f>
        <v/>
      </c>
      <c r="M33" s="18">
        <f>LEN(F33)-N33</f>
        <v/>
      </c>
      <c r="N33" s="18">
        <f>SUMPRODUCT(LEN(F33)-LEN(SUBSTITUTE(F33,{".",",","!","?",":",";","—","–","«","»","""","'","(",")"},"")))</f>
        <v/>
      </c>
      <c r="O33" s="18">
        <f>IF(AND(I33&lt;=35,J33&lt;=15,K33&lt;=30,L33&lt;=15,M33&lt;=81,N33&lt;=15,LEN(G33)&lt;=20),"OK","проверить")</f>
        <v/>
      </c>
    </row>
    <row r="34">
      <c r="A34" s="18" t="inlineStr">
        <is>
          <t>K4</t>
        </is>
      </c>
      <c r="B34" s="4" t="inlineStr">
        <is>
          <t>Обществознание: эссе и развёрнутые ответы</t>
        </is>
      </c>
      <c r="C34" s="18" t="inlineStr">
        <is>
          <t>B</t>
        </is>
      </c>
      <c r="D34" s="4" t="inlineStr">
        <is>
          <t>Проверить ответ ЕГЭ онлайн</t>
        </is>
      </c>
      <c r="E34" s="4" t="inlineStr">
        <is>
          <t>Разбор каждого критерия</t>
        </is>
      </c>
      <c r="F34" s="4" t="inlineStr">
        <is>
          <t>Балл по критериям и советы по исправлению. Проверка доступна в платных тарифах</t>
        </is>
      </c>
      <c r="G34" s="4" t="inlineStr">
        <is>
          <t>Проверка-ответов</t>
        </is>
      </c>
      <c r="H34" s="10" t="inlineStr">
        <is>
          <t>https://ege-tutor.ru/tariffs?utm_source=yandex&amp;utm_medium=cpc&amp;utm_campaign=k4_soc&amp;utm_content={ad_id}&amp;utm_term={keyword}</t>
        </is>
      </c>
      <c r="I34" s="18">
        <f>LEN(D34)-J34</f>
        <v/>
      </c>
      <c r="J34" s="18">
        <f>SUMPRODUCT(LEN(D34)-LEN(SUBSTITUTE(D34,{".",",","!","?",":",";","—","–","«","»","""","'","(",")"},"")))</f>
        <v/>
      </c>
      <c r="K34" s="18">
        <f>LEN(E34)-L34</f>
        <v/>
      </c>
      <c r="L34" s="18">
        <f>SUMPRODUCT(LEN(E34)-LEN(SUBSTITUTE(E34,{".",",","!","?",":",";","—","–","«","»","""","'","(",")"},"")))</f>
        <v/>
      </c>
      <c r="M34" s="18">
        <f>LEN(F34)-N34</f>
        <v/>
      </c>
      <c r="N34" s="18">
        <f>SUMPRODUCT(LEN(F34)-LEN(SUBSTITUTE(F34,{".",",","!","?",":",";","—","–","«","»","""","'","(",")"},"")))</f>
        <v/>
      </c>
      <c r="O34" s="18">
        <f>IF(AND(I34&lt;=35,J34&lt;=15,K34&lt;=30,L34&lt;=15,M34&lt;=81,N34&lt;=15,LEN(G34)&lt;=20),"OK","проверить")</f>
        <v/>
      </c>
    </row>
    <row r="35">
      <c r="A35" s="18" t="inlineStr">
        <is>
          <t>K4</t>
        </is>
      </c>
      <c r="B35" s="4" t="inlineStr">
        <is>
          <t>Литература: сочинение</t>
        </is>
      </c>
      <c r="C35" s="18" t="inlineStr">
        <is>
          <t>A</t>
        </is>
      </c>
      <c r="D35" s="4" t="inlineStr">
        <is>
          <t>Проверка сочинения по литературе</t>
        </is>
      </c>
      <c r="E35" s="4" t="inlineStr">
        <is>
          <t>Оценка по критериям ЕГЭ</t>
        </is>
      </c>
      <c r="F35" s="4" t="inlineStr">
        <is>
          <t>ИИ оценит ответ по критериям и подскажет, что улучшить. В платных тарифах от 1990 ₽</t>
        </is>
      </c>
      <c r="G35" s="4" t="inlineStr">
        <is>
          <t>Проверка-ответов</t>
        </is>
      </c>
      <c r="H35" s="10" t="inlineStr">
        <is>
          <t>https://ege-tutor.ru/tariffs?utm_source=yandex&amp;utm_medium=cpc&amp;utm_campaign=k4_lit&amp;utm_content={ad_id}&amp;utm_term={keyword}</t>
        </is>
      </c>
      <c r="I35" s="18">
        <f>LEN(D35)-J35</f>
        <v/>
      </c>
      <c r="J35" s="18">
        <f>SUMPRODUCT(LEN(D35)-LEN(SUBSTITUTE(D35,{".",",","!","?",":",";","—","–","«","»","""","'","(",")"},"")))</f>
        <v/>
      </c>
      <c r="K35" s="18">
        <f>LEN(E35)-L35</f>
        <v/>
      </c>
      <c r="L35" s="18">
        <f>SUMPRODUCT(LEN(E35)-LEN(SUBSTITUTE(E35,{".",",","!","?",":",";","—","–","«","»","""","'","(",")"},"")))</f>
        <v/>
      </c>
      <c r="M35" s="18">
        <f>LEN(F35)-N35</f>
        <v/>
      </c>
      <c r="N35" s="18">
        <f>SUMPRODUCT(LEN(F35)-LEN(SUBSTITUTE(F35,{".",",","!","?",":",";","—","–","«","»","""","'","(",")"},"")))</f>
        <v/>
      </c>
      <c r="O35" s="18">
        <f>IF(AND(I35&lt;=35,J35&lt;=15,K35&lt;=30,L35&lt;=15,M35&lt;=81,N35&lt;=15,LEN(G35)&lt;=20),"OK","проверить")</f>
        <v/>
      </c>
    </row>
    <row r="36">
      <c r="A36" s="18" t="inlineStr">
        <is>
          <t>K4</t>
        </is>
      </c>
      <c r="B36" s="4" t="inlineStr">
        <is>
          <t>Литература: сочинение</t>
        </is>
      </c>
      <c r="C36" s="18" t="inlineStr">
        <is>
          <t>B</t>
        </is>
      </c>
      <c r="D36" s="4" t="inlineStr">
        <is>
          <t>Проверить ответ ЕГЭ онлайн</t>
        </is>
      </c>
      <c r="E36" s="4" t="inlineStr">
        <is>
          <t>Разбор каждого критерия</t>
        </is>
      </c>
      <c r="F36" s="4" t="inlineStr">
        <is>
          <t>Балл по критериям и советы по исправлению. Проверка доступна в платных тарифах</t>
        </is>
      </c>
      <c r="G36" s="4" t="inlineStr">
        <is>
          <t>Проверка-ответов</t>
        </is>
      </c>
      <c r="H36" s="10" t="inlineStr">
        <is>
          <t>https://ege-tutor.ru/tariffs?utm_source=yandex&amp;utm_medium=cpc&amp;utm_campaign=k4_lit&amp;utm_content={ad_id}&amp;utm_term={keyword}</t>
        </is>
      </c>
      <c r="I36" s="18">
        <f>LEN(D36)-J36</f>
        <v/>
      </c>
      <c r="J36" s="18">
        <f>SUMPRODUCT(LEN(D36)-LEN(SUBSTITUTE(D36,{".",",","!","?",":",";","—","–","«","»","""","'","(",")"},"")))</f>
        <v/>
      </c>
      <c r="K36" s="18">
        <f>LEN(E36)-L36</f>
        <v/>
      </c>
      <c r="L36" s="18">
        <f>SUMPRODUCT(LEN(E36)-LEN(SUBSTITUTE(E36,{".",",","!","?",":",";","—","–","«","»","""","'","(",")"},"")))</f>
        <v/>
      </c>
      <c r="M36" s="18">
        <f>LEN(F36)-N36</f>
        <v/>
      </c>
      <c r="N36" s="18">
        <f>SUMPRODUCT(LEN(F36)-LEN(SUBSTITUTE(F36,{".",",","!","?",":",";","—","–","«","»","""","'","(",")"},"")))</f>
        <v/>
      </c>
      <c r="O36" s="18">
        <f>IF(AND(I36&lt;=35,J36&lt;=15,K36&lt;=30,L36&lt;=15,M36&lt;=81,N36&lt;=15,LEN(G36)&lt;=20),"OK","проверить")</f>
        <v/>
      </c>
    </row>
    <row r="37">
      <c r="A37" s="18" t="inlineStr">
        <is>
          <t>K4</t>
        </is>
      </c>
      <c r="B37" s="4" t="inlineStr">
        <is>
          <t>История: развёрнутые ответы</t>
        </is>
      </c>
      <c r="C37" s="18" t="inlineStr">
        <is>
          <t>A</t>
        </is>
      </c>
      <c r="D37" s="4" t="inlineStr">
        <is>
          <t>Проверка ответов ЕГЭ по истории</t>
        </is>
      </c>
      <c r="E37" s="4" t="inlineStr">
        <is>
          <t>Оценка по критериям ЕГЭ</t>
        </is>
      </c>
      <c r="F37" s="4" t="inlineStr">
        <is>
          <t>ИИ оценит ответ по критериям и подскажет, что улучшить. В платных тарифах от 1990 ₽</t>
        </is>
      </c>
      <c r="G37" s="4" t="inlineStr">
        <is>
          <t>Проверка-ответов</t>
        </is>
      </c>
      <c r="H37" s="10" t="inlineStr">
        <is>
          <t>https://ege-tutor.ru/tariffs?utm_source=yandex&amp;utm_medium=cpc&amp;utm_campaign=k4_hist&amp;utm_content={ad_id}&amp;utm_term={keyword}</t>
        </is>
      </c>
      <c r="I37" s="18">
        <f>LEN(D37)-J37</f>
        <v/>
      </c>
      <c r="J37" s="18">
        <f>SUMPRODUCT(LEN(D37)-LEN(SUBSTITUTE(D37,{".",",","!","?",":",";","—","–","«","»","""","'","(",")"},"")))</f>
        <v/>
      </c>
      <c r="K37" s="18">
        <f>LEN(E37)-L37</f>
        <v/>
      </c>
      <c r="L37" s="18">
        <f>SUMPRODUCT(LEN(E37)-LEN(SUBSTITUTE(E37,{".",",","!","?",":",";","—","–","«","»","""","'","(",")"},"")))</f>
        <v/>
      </c>
      <c r="M37" s="18">
        <f>LEN(F37)-N37</f>
        <v/>
      </c>
      <c r="N37" s="18">
        <f>SUMPRODUCT(LEN(F37)-LEN(SUBSTITUTE(F37,{".",",","!","?",":",";","—","–","«","»","""","'","(",")"},"")))</f>
        <v/>
      </c>
      <c r="O37" s="18">
        <f>IF(AND(I37&lt;=35,J37&lt;=15,K37&lt;=30,L37&lt;=15,M37&lt;=81,N37&lt;=15,LEN(G37)&lt;=20),"OK","проверить")</f>
        <v/>
      </c>
    </row>
    <row r="38">
      <c r="A38" s="18" t="inlineStr">
        <is>
          <t>K4</t>
        </is>
      </c>
      <c r="B38" s="4" t="inlineStr">
        <is>
          <t>История: развёрнутые ответы</t>
        </is>
      </c>
      <c r="C38" s="18" t="inlineStr">
        <is>
          <t>B</t>
        </is>
      </c>
      <c r="D38" s="4" t="inlineStr">
        <is>
          <t>Проверить ответ ЕГЭ онлайн</t>
        </is>
      </c>
      <c r="E38" s="4" t="inlineStr">
        <is>
          <t>Разбор каждого критерия</t>
        </is>
      </c>
      <c r="F38" s="4" t="inlineStr">
        <is>
          <t>Балл по критериям и советы по исправлению. Проверка доступна в платных тарифах</t>
        </is>
      </c>
      <c r="G38" s="4" t="inlineStr">
        <is>
          <t>Проверка-ответов</t>
        </is>
      </c>
      <c r="H38" s="10" t="inlineStr">
        <is>
          <t>https://ege-tutor.ru/tariffs?utm_source=yandex&amp;utm_medium=cpc&amp;utm_campaign=k4_hist&amp;utm_content={ad_id}&amp;utm_term={keyword}</t>
        </is>
      </c>
      <c r="I38" s="18">
        <f>LEN(D38)-J38</f>
        <v/>
      </c>
      <c r="J38" s="18">
        <f>SUMPRODUCT(LEN(D38)-LEN(SUBSTITUTE(D38,{".",",","!","?",":",";","—","–","«","»","""","'","(",")"},"")))</f>
        <v/>
      </c>
      <c r="K38" s="18">
        <f>LEN(E38)-L38</f>
        <v/>
      </c>
      <c r="L38" s="18">
        <f>SUMPRODUCT(LEN(E38)-LEN(SUBSTITUTE(E38,{".",",","!","?",":",";","—","–","«","»","""","'","(",")"},"")))</f>
        <v/>
      </c>
      <c r="M38" s="18">
        <f>LEN(F38)-N38</f>
        <v/>
      </c>
      <c r="N38" s="18">
        <f>SUMPRODUCT(LEN(F38)-LEN(SUBSTITUTE(F38,{".",",","!","?",":",";","—","–","«","»","""","'","(",")"},"")))</f>
        <v/>
      </c>
      <c r="O38" s="18">
        <f>IF(AND(I38&lt;=35,J38&lt;=15,K38&lt;=30,L38&lt;=15,M38&lt;=81,N38&lt;=15,LEN(G38)&lt;=20),"OK","проверить")</f>
        <v/>
      </c>
    </row>
    <row r="39">
      <c r="A39" s="18" t="inlineStr">
        <is>
          <t>K4</t>
        </is>
      </c>
      <c r="B39" s="4" t="inlineStr">
        <is>
          <t>Биология: часть 2</t>
        </is>
      </c>
      <c r="C39" s="18" t="inlineStr">
        <is>
          <t>A</t>
        </is>
      </c>
      <c r="D39" s="4" t="inlineStr">
        <is>
          <t>Проверка второй части по биологии</t>
        </is>
      </c>
      <c r="E39" s="4" t="inlineStr">
        <is>
          <t>Оценка по критериям ЕГЭ</t>
        </is>
      </c>
      <c r="F39" s="4" t="inlineStr">
        <is>
          <t>ИИ оценит ответ по критериям и подскажет, что улучшить. В платных тарифах от 1990 ₽</t>
        </is>
      </c>
      <c r="G39" s="4" t="inlineStr">
        <is>
          <t>Проверка-ответов</t>
        </is>
      </c>
      <c r="H39" s="10" t="inlineStr">
        <is>
          <t>https://ege-tutor.ru/tariffs?utm_source=yandex&amp;utm_medium=cpc&amp;utm_campaign=k4_bio&amp;utm_content={ad_id}&amp;utm_term={keyword}</t>
        </is>
      </c>
      <c r="I39" s="18">
        <f>LEN(D39)-J39</f>
        <v/>
      </c>
      <c r="J39" s="18">
        <f>SUMPRODUCT(LEN(D39)-LEN(SUBSTITUTE(D39,{".",",","!","?",":",";","—","–","«","»","""","'","(",")"},"")))</f>
        <v/>
      </c>
      <c r="K39" s="18">
        <f>LEN(E39)-L39</f>
        <v/>
      </c>
      <c r="L39" s="18">
        <f>SUMPRODUCT(LEN(E39)-LEN(SUBSTITUTE(E39,{".",",","!","?",":",";","—","–","«","»","""","'","(",")"},"")))</f>
        <v/>
      </c>
      <c r="M39" s="18">
        <f>LEN(F39)-N39</f>
        <v/>
      </c>
      <c r="N39" s="18">
        <f>SUMPRODUCT(LEN(F39)-LEN(SUBSTITUTE(F39,{".",",","!","?",":",";","—","–","«","»","""","'","(",")"},"")))</f>
        <v/>
      </c>
      <c r="O39" s="18">
        <f>IF(AND(I39&lt;=35,J39&lt;=15,K39&lt;=30,L39&lt;=15,M39&lt;=81,N39&lt;=15,LEN(G39)&lt;=20),"OK","проверить")</f>
        <v/>
      </c>
    </row>
    <row r="40">
      <c r="A40" s="18" t="inlineStr">
        <is>
          <t>K4</t>
        </is>
      </c>
      <c r="B40" s="4" t="inlineStr">
        <is>
          <t>Биология: часть 2</t>
        </is>
      </c>
      <c r="C40" s="18" t="inlineStr">
        <is>
          <t>B</t>
        </is>
      </c>
      <c r="D40" s="4" t="inlineStr">
        <is>
          <t>Проверить ответ ЕГЭ онлайн</t>
        </is>
      </c>
      <c r="E40" s="4" t="inlineStr">
        <is>
          <t>Разбор каждого критерия</t>
        </is>
      </c>
      <c r="F40" s="4" t="inlineStr">
        <is>
          <t>Балл по критериям и советы по исправлению. Проверка доступна в платных тарифах</t>
        </is>
      </c>
      <c r="G40" s="4" t="inlineStr">
        <is>
          <t>Проверка-ответов</t>
        </is>
      </c>
      <c r="H40" s="10" t="inlineStr">
        <is>
          <t>https://ege-tutor.ru/tariffs?utm_source=yandex&amp;utm_medium=cpc&amp;utm_campaign=k4_bio&amp;utm_content={ad_id}&amp;utm_term={keyword}</t>
        </is>
      </c>
      <c r="I40" s="18">
        <f>LEN(D40)-J40</f>
        <v/>
      </c>
      <c r="J40" s="18">
        <f>SUMPRODUCT(LEN(D40)-LEN(SUBSTITUTE(D40,{".",",","!","?",":",";","—","–","«","»","""","'","(",")"},"")))</f>
        <v/>
      </c>
      <c r="K40" s="18">
        <f>LEN(E40)-L40</f>
        <v/>
      </c>
      <c r="L40" s="18">
        <f>SUMPRODUCT(LEN(E40)-LEN(SUBSTITUTE(E40,{".",",","!","?",":",";","—","–","«","»","""","'","(",")"},"")))</f>
        <v/>
      </c>
      <c r="M40" s="18">
        <f>LEN(F40)-N40</f>
        <v/>
      </c>
      <c r="N40" s="18">
        <f>SUMPRODUCT(LEN(F40)-LEN(SUBSTITUTE(F40,{".",",","!","?",":",";","—","–","«","»","""","'","(",")"},"")))</f>
        <v/>
      </c>
      <c r="O40" s="18">
        <f>IF(AND(I40&lt;=35,J40&lt;=15,K40&lt;=30,L40&lt;=15,M40&lt;=81,N40&lt;=15,LEN(G40)&lt;=20),"OK","проверить")</f>
        <v/>
      </c>
    </row>
    <row r="41">
      <c r="A41" s="18" t="inlineStr">
        <is>
          <t>K5</t>
        </is>
      </c>
      <c r="B41" s="4" t="inlineStr">
        <is>
          <t>Цена и стоимость</t>
        </is>
      </c>
      <c r="C41" s="18" t="inlineStr">
        <is>
          <t>A</t>
        </is>
      </c>
      <c r="D41" s="4" t="inlineStr">
        <is>
          <t>ИИ-репетитор для ЕГЭ от 1990 ₽</t>
        </is>
      </c>
      <c r="E41" s="4" t="inlineStr">
        <is>
          <t>Безлимит на 2 предмета</t>
        </is>
      </c>
      <c r="F41" s="4" t="inlineStr">
        <is>
          <t>Оплата за месяц, а не за занятие. Есть бесплатный старт: 3 обращения к ИИ в день</t>
        </is>
      </c>
      <c r="G41" s="4" t="inlineStr">
        <is>
          <t>Тарифы</t>
        </is>
      </c>
      <c r="H41" s="10" t="inlineStr">
        <is>
          <t>https://ege-tutor.ru/tariffs?utm_source=yandex&amp;utm_medium=cpc&amp;utm_campaign=k5_price&amp;utm_content={ad_id}&amp;utm_term={keyword}</t>
        </is>
      </c>
      <c r="I41" s="18">
        <f>LEN(D41)-J41</f>
        <v/>
      </c>
      <c r="J41" s="18">
        <f>SUMPRODUCT(LEN(D41)-LEN(SUBSTITUTE(D41,{".",",","!","?",":",";","—","–","«","»","""","'","(",")"},"")))</f>
        <v/>
      </c>
      <c r="K41" s="18">
        <f>LEN(E41)-L41</f>
        <v/>
      </c>
      <c r="L41" s="18">
        <f>SUMPRODUCT(LEN(E41)-LEN(SUBSTITUTE(E41,{".",",","!","?",":",";","—","–","«","»","""","'","(",")"},"")))</f>
        <v/>
      </c>
      <c r="M41" s="18">
        <f>LEN(F41)-N41</f>
        <v/>
      </c>
      <c r="N41" s="18">
        <f>SUMPRODUCT(LEN(F41)-LEN(SUBSTITUTE(F41,{".",",","!","?",":",";","—","–","«","»","""","'","(",")"},"")))</f>
        <v/>
      </c>
      <c r="O41" s="18">
        <f>IF(AND(I41&lt;=35,J41&lt;=15,K41&lt;=30,L41&lt;=15,M41&lt;=81,N41&lt;=15,LEN(G41)&lt;=20),"OK","проверить")</f>
        <v/>
      </c>
    </row>
    <row r="42">
      <c r="A42" s="18" t="inlineStr">
        <is>
          <t>K5</t>
        </is>
      </c>
      <c r="B42" s="4" t="inlineStr">
        <is>
          <t>Цена и стоимость</t>
        </is>
      </c>
      <c r="C42" s="18" t="inlineStr">
        <is>
          <t>B</t>
        </is>
      </c>
      <c r="D42" s="4" t="inlineStr">
        <is>
          <t>Подготовка к ЕГЭ: тарифы</t>
        </is>
      </c>
      <c r="E42" s="4" t="inlineStr">
        <is>
          <t>От 1990 ₽ в месяц</t>
        </is>
      </c>
      <c r="F42" s="4" t="inlineStr">
        <is>
          <t>Тарифы на 2, 4 или 5 предметов. Задания формата ФИПИ и персональный план</t>
        </is>
      </c>
      <c r="G42" s="4" t="inlineStr">
        <is>
          <t>Тарифы</t>
        </is>
      </c>
      <c r="H42" s="10" t="inlineStr">
        <is>
          <t>https://ege-tutor.ru/tariffs?utm_source=yandex&amp;utm_medium=cpc&amp;utm_campaign=k5_price&amp;utm_content={ad_id}&amp;utm_term={keyword}</t>
        </is>
      </c>
      <c r="I42" s="18">
        <f>LEN(D42)-J42</f>
        <v/>
      </c>
      <c r="J42" s="18">
        <f>SUMPRODUCT(LEN(D42)-LEN(SUBSTITUTE(D42,{".",",","!","?",":",";","—","–","«","»","""","'","(",")"},"")))</f>
        <v/>
      </c>
      <c r="K42" s="18">
        <f>LEN(E42)-L42</f>
        <v/>
      </c>
      <c r="L42" s="18">
        <f>SUMPRODUCT(LEN(E42)-LEN(SUBSTITUTE(E42,{".",",","!","?",":",";","—","–","«","»","""","'","(",")"},"")))</f>
        <v/>
      </c>
      <c r="M42" s="18">
        <f>LEN(F42)-N42</f>
        <v/>
      </c>
      <c r="N42" s="18">
        <f>SUMPRODUCT(LEN(F42)-LEN(SUBSTITUTE(F42,{".",",","!","?",":",";","—","–","«","»","""","'","(",")"},"")))</f>
        <v/>
      </c>
      <c r="O42" s="18">
        <f>IF(AND(I42&lt;=35,J42&lt;=15,K42&lt;=30,L42&lt;=15,M42&lt;=81,N42&lt;=15,LEN(G42)&lt;=20),"OK","проверить")</f>
        <v/>
      </c>
    </row>
    <row r="43">
      <c r="A43" s="18" t="inlineStr">
        <is>
          <t>K5</t>
        </is>
      </c>
      <c r="B43" s="4" t="inlineStr">
        <is>
          <t>Выбор платформы</t>
        </is>
      </c>
      <c r="C43" s="18" t="inlineStr">
        <is>
          <t>A</t>
        </is>
      </c>
      <c r="D43" s="4" t="inlineStr">
        <is>
          <t>Платформа для подготовки к ЕГЭ</t>
        </is>
      </c>
      <c r="E43" s="4" t="inlineStr">
        <is>
          <t>Попробуйте бесплатно</t>
        </is>
      </c>
      <c r="F43" s="4" t="inlineStr">
        <is>
          <t>Проверьте сами: 3 обращения к ИИ-репетитору в день бесплатно, без оплаты</t>
        </is>
      </c>
      <c r="G43" s="4" t="inlineStr">
        <is>
          <t>Попробовать</t>
        </is>
      </c>
      <c r="H43" s="10" t="inlineStr">
        <is>
          <t>https://ege-tutor.ru/?utm_source=yandex&amp;utm_medium=cpc&amp;utm_campaign=k5_choice&amp;utm_content={ad_id}&amp;utm_term={keyword}</t>
        </is>
      </c>
      <c r="I43" s="18">
        <f>LEN(D43)-J43</f>
        <v/>
      </c>
      <c r="J43" s="18">
        <f>SUMPRODUCT(LEN(D43)-LEN(SUBSTITUTE(D43,{".",",","!","?",":",";","—","–","«","»","""","'","(",")"},"")))</f>
        <v/>
      </c>
      <c r="K43" s="18">
        <f>LEN(E43)-L43</f>
        <v/>
      </c>
      <c r="L43" s="18">
        <f>SUMPRODUCT(LEN(E43)-LEN(SUBSTITUTE(E43,{".",",","!","?",":",";","—","–","«","»","""","'","(",")"},"")))</f>
        <v/>
      </c>
      <c r="M43" s="18">
        <f>LEN(F43)-N43</f>
        <v/>
      </c>
      <c r="N43" s="18">
        <f>SUMPRODUCT(LEN(F43)-LEN(SUBSTITUTE(F43,{".",",","!","?",":",";","—","–","«","»","""","'","(",")"},"")))</f>
        <v/>
      </c>
      <c r="O43" s="18">
        <f>IF(AND(I43&lt;=35,J43&lt;=15,K43&lt;=30,L43&lt;=15,M43&lt;=81,N43&lt;=15,LEN(G43)&lt;=20),"OK","проверить")</f>
        <v/>
      </c>
    </row>
    <row r="44">
      <c r="A44" s="18" t="inlineStr">
        <is>
          <t>K5</t>
        </is>
      </c>
      <c r="B44" s="4" t="inlineStr">
        <is>
          <t>Выбор платформы</t>
        </is>
      </c>
      <c r="C44" s="18" t="inlineStr">
        <is>
          <t>B</t>
        </is>
      </c>
      <c r="D44" s="4" t="inlineStr">
        <is>
          <t>ИИ-репетитор для школьника</t>
        </is>
      </c>
      <c r="E44" s="4" t="inlineStr">
        <is>
          <t>Объясняет, а не решает</t>
        </is>
      </c>
      <c r="F44" s="4" t="inlineStr">
        <is>
          <t>Ребёнок учится сам: ИИ подсказывает и объясняет, но не решает за него</t>
        </is>
      </c>
      <c r="G44" s="4" t="inlineStr">
        <is>
          <t>Попробовать</t>
        </is>
      </c>
      <c r="H44" s="10" t="inlineStr">
        <is>
          <t>https://ege-tutor.ru/?utm_source=yandex&amp;utm_medium=cpc&amp;utm_campaign=k5_choice&amp;utm_content={ad_id}&amp;utm_term={keyword}</t>
        </is>
      </c>
      <c r="I44" s="18">
        <f>LEN(D44)-J44</f>
        <v/>
      </c>
      <c r="J44" s="18">
        <f>SUMPRODUCT(LEN(D44)-LEN(SUBSTITUTE(D44,{".",",","!","?",":",";","—","–","«","»","""","'","(",")"},"")))</f>
        <v/>
      </c>
      <c r="K44" s="18">
        <f>LEN(E44)-L44</f>
        <v/>
      </c>
      <c r="L44" s="18">
        <f>SUMPRODUCT(LEN(E44)-LEN(SUBSTITUTE(E44,{".",",","!","?",":",";","—","–","«","»","""","'","(",")"},"")))</f>
        <v/>
      </c>
      <c r="M44" s="18">
        <f>LEN(F44)-N44</f>
        <v/>
      </c>
      <c r="N44" s="18">
        <f>SUMPRODUCT(LEN(F44)-LEN(SUBSTITUTE(F44,{".",",","!","?",":",";","—","–","«","»","""","'","(",")"},"")))</f>
        <v/>
      </c>
      <c r="O44" s="18">
        <f>IF(AND(I44&lt;=35,J44&lt;=15,K44&lt;=30,L44&lt;=15,M44&lt;=81,N44&lt;=15,LEN(G44)&lt;=20),"OK","проверить")</f>
        <v/>
      </c>
    </row>
    <row r="45">
      <c r="A45" s="18" t="inlineStr">
        <is>
          <t>K5</t>
        </is>
      </c>
      <c r="B45" s="4" t="inlineStr">
        <is>
          <t>Подготовка ребёнка</t>
        </is>
      </c>
      <c r="C45" s="18" t="inlineStr">
        <is>
          <t>A</t>
        </is>
      </c>
      <c r="D45" s="4" t="inlineStr">
        <is>
          <t>Подготовка к ЕГЭ для школьника</t>
        </is>
      </c>
      <c r="E45" s="4" t="inlineStr">
        <is>
          <t>ИИ объясняет, а не решает</t>
        </is>
      </c>
      <c r="F45" s="4" t="inlineStr">
        <is>
          <t>Ребёнок учится сам: ИИ подсказывает и объясняет, но не решает за него</t>
        </is>
      </c>
      <c r="G45" s="4" t="inlineStr">
        <is>
          <t>Для-школьника</t>
        </is>
      </c>
      <c r="H45" s="10" t="inlineStr">
        <is>
          <t>https://ege-tutor.ru/?utm_source=yandex&amp;utm_medium=cpc&amp;utm_campaign=k5_child&amp;utm_content={ad_id}&amp;utm_term={keyword}</t>
        </is>
      </c>
      <c r="I45" s="18">
        <f>LEN(D45)-J45</f>
        <v/>
      </c>
      <c r="J45" s="18">
        <f>SUMPRODUCT(LEN(D45)-LEN(SUBSTITUTE(D45,{".",",","!","?",":",";","—","–","«","»","""","'","(",")"},"")))</f>
        <v/>
      </c>
      <c r="K45" s="18">
        <f>LEN(E45)-L45</f>
        <v/>
      </c>
      <c r="L45" s="18">
        <f>SUMPRODUCT(LEN(E45)-LEN(SUBSTITUTE(E45,{".",",","!","?",":",";","—","–","«","»","""","'","(",")"},"")))</f>
        <v/>
      </c>
      <c r="M45" s="18">
        <f>LEN(F45)-N45</f>
        <v/>
      </c>
      <c r="N45" s="18">
        <f>SUMPRODUCT(LEN(F45)-LEN(SUBSTITUTE(F45,{".",",","!","?",":",";","—","–","«","»","""","'","(",")"},"")))</f>
        <v/>
      </c>
      <c r="O45" s="18">
        <f>IF(AND(I45&lt;=35,J45&lt;=15,K45&lt;=30,L45&lt;=15,M45&lt;=81,N45&lt;=15,LEN(G45)&lt;=20),"OK","проверить")</f>
        <v/>
      </c>
    </row>
    <row r="46">
      <c r="A46" s="18" t="inlineStr">
        <is>
          <t>K5</t>
        </is>
      </c>
      <c r="B46" s="4" t="inlineStr">
        <is>
          <t>Подготовка ребёнка</t>
        </is>
      </c>
      <c r="C46" s="18" t="inlineStr">
        <is>
          <t>B</t>
        </is>
      </c>
      <c r="D46" s="4" t="inlineStr">
        <is>
          <t>Подготовка к ЕГЭ дома онлайн</t>
        </is>
      </c>
      <c r="E46" s="4" t="inlineStr">
        <is>
          <t>Персональный план</t>
        </is>
      </c>
      <c r="F46" s="4" t="inlineStr">
        <is>
          <t>Задания формата ФИПИ, план подготовки и статистика по каждому предмету</t>
        </is>
      </c>
      <c r="G46" s="4" t="inlineStr">
        <is>
          <t>Для-школьника</t>
        </is>
      </c>
      <c r="H46" s="10" t="inlineStr">
        <is>
          <t>https://ege-tutor.ru/?utm_source=yandex&amp;utm_medium=cpc&amp;utm_campaign=k5_child&amp;utm_content={ad_id}&amp;utm_term={keyword}</t>
        </is>
      </c>
      <c r="I46" s="18">
        <f>LEN(D46)-J46</f>
        <v/>
      </c>
      <c r="J46" s="18">
        <f>SUMPRODUCT(LEN(D46)-LEN(SUBSTITUTE(D46,{".",",","!","?",":",";","—","–","«","»","""","'","(",")"},"")))</f>
        <v/>
      </c>
      <c r="K46" s="18">
        <f>LEN(E46)-L46</f>
        <v/>
      </c>
      <c r="L46" s="18">
        <f>SUMPRODUCT(LEN(E46)-LEN(SUBSTITUTE(E46,{".",",","!","?",":",";","—","–","«","»","""","'","(",")"},"")))</f>
        <v/>
      </c>
      <c r="M46" s="18">
        <f>LEN(F46)-N46</f>
        <v/>
      </c>
      <c r="N46" s="18">
        <f>SUMPRODUCT(LEN(F46)-LEN(SUBSTITUTE(F46,{".",",","!","?",":",";","—","–","«","»","""","'","(",")"},"")))</f>
        <v/>
      </c>
      <c r="O46" s="18">
        <f>IF(AND(I46&lt;=35,J46&lt;=15,K46&lt;=30,L46&lt;=15,M46&lt;=81,N46&lt;=15,LEN(G46)&lt;=20),"OK","проверить")</f>
        <v/>
      </c>
    </row>
    <row r="47">
      <c r="A47" s="18" t="inlineStr">
        <is>
          <t>K6</t>
        </is>
      </c>
      <c r="B47" s="4" t="inlineStr">
        <is>
          <t>Как готовиться</t>
        </is>
      </c>
      <c r="C47" s="18" t="inlineStr">
        <is>
          <t>A</t>
        </is>
      </c>
      <c r="D47" s="4" t="inlineStr">
        <is>
          <t>План подготовки к ЕГЭ</t>
        </is>
      </c>
      <c r="E47" s="4" t="inlineStr">
        <is>
          <t>С ИИ-репетитором</t>
        </is>
      </c>
      <c r="F47" s="4" t="inlineStr">
        <is>
          <t>Подсказки трёх уровней, разбор заданий и персональный план. Начните бесплатно</t>
        </is>
      </c>
      <c r="G47" s="4" t="inlineStr">
        <is>
          <t>План-подготовки</t>
        </is>
      </c>
      <c r="H47" s="10" t="inlineStr">
        <is>
          <t>https://ege-tutor.ru/?utm_source=yandex&amp;utm_medium=cpc&amp;utm_campaign=k6_info&amp;utm_content={ad_id}&amp;utm_term={keyword}</t>
        </is>
      </c>
      <c r="I47" s="18">
        <f>LEN(D47)-J47</f>
        <v/>
      </c>
      <c r="J47" s="18">
        <f>SUMPRODUCT(LEN(D47)-LEN(SUBSTITUTE(D47,{".",",","!","?",":",";","—","–","«","»","""","'","(",")"},"")))</f>
        <v/>
      </c>
      <c r="K47" s="18">
        <f>LEN(E47)-L47</f>
        <v/>
      </c>
      <c r="L47" s="18">
        <f>SUMPRODUCT(LEN(E47)-LEN(SUBSTITUTE(E47,{".",",","!","?",":",";","—","–","«","»","""","'","(",")"},"")))</f>
        <v/>
      </c>
      <c r="M47" s="18">
        <f>LEN(F47)-N47</f>
        <v/>
      </c>
      <c r="N47" s="18">
        <f>SUMPRODUCT(LEN(F47)-LEN(SUBSTITUTE(F47,{".",",","!","?",":",";","—","–","«","»","""","'","(",")"},"")))</f>
        <v/>
      </c>
      <c r="O47" s="18">
        <f>IF(AND(I47&lt;=35,J47&lt;=15,K47&lt;=30,L47&lt;=15,M47&lt;=81,N47&lt;=15,LEN(G47)&lt;=20),"OK","проверить")</f>
        <v/>
      </c>
    </row>
    <row r="48">
      <c r="A48" s="18" t="inlineStr">
        <is>
          <t>K6</t>
        </is>
      </c>
      <c r="B48" s="4" t="inlineStr">
        <is>
          <t>Как готовиться</t>
        </is>
      </c>
      <c r="C48" s="18" t="inlineStr">
        <is>
          <t>B</t>
        </is>
      </c>
      <c r="D48" s="4" t="inlineStr">
        <is>
          <t>Как подготовиться к ЕГЭ</t>
        </is>
      </c>
      <c r="E48" s="4" t="inlineStr">
        <is>
          <t>Тренажёр с ИИ-репетитором</t>
        </is>
      </c>
      <c r="F48" s="4" t="inlineStr">
        <is>
          <t>Решайте задания формата ФИПИ, ИИ объясняет ошибки. Первые шаги бесплатно</t>
        </is>
      </c>
      <c r="G48" s="4" t="inlineStr">
        <is>
          <t>План-подготовки</t>
        </is>
      </c>
      <c r="H48" s="10" t="inlineStr">
        <is>
          <t>https://ege-tutor.ru/?utm_source=yandex&amp;utm_medium=cpc&amp;utm_campaign=k6_info&amp;utm_content={ad_id}&amp;utm_term={keyword}</t>
        </is>
      </c>
      <c r="I48" s="18">
        <f>LEN(D48)-J48</f>
        <v/>
      </c>
      <c r="J48" s="18">
        <f>SUMPRODUCT(LEN(D48)-LEN(SUBSTITUTE(D48,{".",",","!","?",":",";","—","–","«","»","""","'","(",")"},"")))</f>
        <v/>
      </c>
      <c r="K48" s="18">
        <f>LEN(E48)-L48</f>
        <v/>
      </c>
      <c r="L48" s="18">
        <f>SUMPRODUCT(LEN(E48)-LEN(SUBSTITUTE(E48,{".",",","!","?",":",";","—","–","«","»","""","'","(",")"},"")))</f>
        <v/>
      </c>
      <c r="M48" s="18">
        <f>LEN(F48)-N48</f>
        <v/>
      </c>
      <c r="N48" s="18">
        <f>SUMPRODUCT(LEN(F48)-LEN(SUBSTITUTE(F48,{".",",","!","?",":",";","—","–","«","»","""","'","(",")"},"")))</f>
        <v/>
      </c>
      <c r="O48" s="18">
        <f>IF(AND(I48&lt;=35,J48&lt;=15,K48&lt;=30,L48&lt;=15,M48&lt;=81,N48&lt;=15,LEN(G48)&lt;=20),"OK","проверить")</f>
        <v/>
      </c>
    </row>
    <row r="49">
      <c r="A49" s="18" t="inlineStr">
        <is>
          <t>K6</t>
        </is>
      </c>
      <c r="B49" s="4" t="inlineStr">
        <is>
          <t>ЕГЭ 2027: что нового</t>
        </is>
      </c>
      <c r="C49" s="18" t="inlineStr">
        <is>
          <t>A</t>
        </is>
      </c>
      <c r="D49" s="4" t="inlineStr">
        <is>
          <t>ЕГЭ 2027: что изменилось</t>
        </is>
      </c>
      <c r="E49" s="4" t="inlineStr">
        <is>
          <t>Подготовка с ИИ-репетитором</t>
        </is>
      </c>
      <c r="F49" s="4" t="inlineStr">
        <is>
          <t>Готовьтесь по заданиям формата ФИПИ с разбором и подсказками. Начните бесплатно</t>
        </is>
      </c>
      <c r="G49" s="4" t="inlineStr">
        <is>
          <t>ЕГЭ-2027</t>
        </is>
      </c>
      <c r="H49" s="10" t="inlineStr">
        <is>
          <t>https://ege-tutor.ru/?utm_source=yandex&amp;utm_medium=cpc&amp;utm_campaign=k6_2027&amp;utm_content={ad_id}&amp;utm_term={keyword}</t>
        </is>
      </c>
      <c r="I49" s="18">
        <f>LEN(D49)-J49</f>
        <v/>
      </c>
      <c r="J49" s="18">
        <f>SUMPRODUCT(LEN(D49)-LEN(SUBSTITUTE(D49,{".",",","!","?",":",";","—","–","«","»","""","'","(",")"},"")))</f>
        <v/>
      </c>
      <c r="K49" s="18">
        <f>LEN(E49)-L49</f>
        <v/>
      </c>
      <c r="L49" s="18">
        <f>SUMPRODUCT(LEN(E49)-LEN(SUBSTITUTE(E49,{".",",","!","?",":",";","—","–","«","»","""","'","(",")"},"")))</f>
        <v/>
      </c>
      <c r="M49" s="18">
        <f>LEN(F49)-N49</f>
        <v/>
      </c>
      <c r="N49" s="18">
        <f>SUMPRODUCT(LEN(F49)-LEN(SUBSTITUTE(F49,{".",",","!","?",":",";","—","–","«","»","""","'","(",")"},"")))</f>
        <v/>
      </c>
      <c r="O49" s="18">
        <f>IF(AND(I49&lt;=35,J49&lt;=15,K49&lt;=30,L49&lt;=15,M49&lt;=81,N49&lt;=15,LEN(G49)&lt;=20),"OK","проверить")</f>
        <v/>
      </c>
    </row>
    <row r="50">
      <c r="A50" s="18" t="inlineStr">
        <is>
          <t>K6</t>
        </is>
      </c>
      <c r="B50" s="4" t="inlineStr">
        <is>
          <t>ЕГЭ 2027: что нового</t>
        </is>
      </c>
      <c r="C50" s="18" t="inlineStr">
        <is>
          <t>B</t>
        </is>
      </c>
      <c r="D50" s="4" t="inlineStr">
        <is>
          <t>Подготовка к ЕГЭ 2027</t>
        </is>
      </c>
      <c r="E50" s="4" t="inlineStr">
        <is>
          <t>Тренажёр с ИИ</t>
        </is>
      </c>
      <c r="F50" s="4" t="inlineStr">
        <is>
          <t>Задания, подсказки трёх уровней и разбор по шагам. Начните бесплатно</t>
        </is>
      </c>
      <c r="G50" s="4" t="inlineStr">
        <is>
          <t>ЕГЭ-2027</t>
        </is>
      </c>
      <c r="H50" s="10" t="inlineStr">
        <is>
          <t>https://ege-tutor.ru/?utm_source=yandex&amp;utm_medium=cpc&amp;utm_campaign=k6_2027&amp;utm_content={ad_id}&amp;utm_term={keyword}</t>
        </is>
      </c>
      <c r="I50" s="18">
        <f>LEN(D50)-J50</f>
        <v/>
      </c>
      <c r="J50" s="18">
        <f>SUMPRODUCT(LEN(D50)-LEN(SUBSTITUTE(D50,{".",",","!","?",":",";","—","–","«","»","""","'","(",")"},"")))</f>
        <v/>
      </c>
      <c r="K50" s="18">
        <f>LEN(E50)-L50</f>
        <v/>
      </c>
      <c r="L50" s="18">
        <f>SUMPRODUCT(LEN(E50)-LEN(SUBSTITUTE(E50,{".",",","!","?",":",";","—","–","«","»","""","'","(",")"},"")))</f>
        <v/>
      </c>
      <c r="M50" s="18">
        <f>LEN(F50)-N50</f>
        <v/>
      </c>
      <c r="N50" s="18">
        <f>SUMPRODUCT(LEN(F50)-LEN(SUBSTITUTE(F50,{".",",","!","?",":",";","—","–","«","»","""","'","(",")"},"")))</f>
        <v/>
      </c>
      <c r="O50" s="18">
        <f>IF(AND(I50&lt;=35,J50&lt;=15,K50&lt;=30,L50&lt;=15,M50&lt;=81,N50&lt;=15,LEN(G50)&lt;=20),"OK","проверить")</f>
        <v/>
      </c>
    </row>
    <row r="51">
      <c r="A51" s="18" t="inlineStr">
        <is>
          <t>K7</t>
        </is>
      </c>
      <c r="B51" s="4" t="inlineStr">
        <is>
          <t>Был на сайте, не зарегистрировался</t>
        </is>
      </c>
      <c r="C51" s="18" t="inlineStr">
        <is>
          <t>A</t>
        </is>
      </c>
      <c r="D51" s="4" t="inlineStr">
        <is>
          <t>Попробуйте ИИ-репетитора</t>
        </is>
      </c>
      <c r="E51" s="4" t="inlineStr">
        <is>
          <t>3 обращения в день — бесплатно</t>
        </is>
      </c>
      <c r="F51" s="4" t="inlineStr">
        <is>
          <t>Подсказки трёх уровней и разбор заданий по шагам. Регистрация займёт минуту</t>
        </is>
      </c>
      <c r="G51" s="4" t="inlineStr">
        <is>
          <t>Попробовать</t>
        </is>
      </c>
      <c r="H51" s="10" t="inlineStr">
        <is>
          <t>https://ege-tutor.ru/?utm_source=yandex&amp;utm_medium=cpc&amp;utm_campaign=k7_visit&amp;utm_content={ad_id}&amp;utm_term={keyword}</t>
        </is>
      </c>
      <c r="I51" s="18">
        <f>LEN(D51)-J51</f>
        <v/>
      </c>
      <c r="J51" s="18">
        <f>SUMPRODUCT(LEN(D51)-LEN(SUBSTITUTE(D51,{".",",","!","?",":",";","—","–","«","»","""","'","(",")"},"")))</f>
        <v/>
      </c>
      <c r="K51" s="18">
        <f>LEN(E51)-L51</f>
        <v/>
      </c>
      <c r="L51" s="18">
        <f>SUMPRODUCT(LEN(E51)-LEN(SUBSTITUTE(E51,{".",",","!","?",":",";","—","–","«","»","""","'","(",")"},"")))</f>
        <v/>
      </c>
      <c r="M51" s="18">
        <f>LEN(F51)-N51</f>
        <v/>
      </c>
      <c r="N51" s="18">
        <f>SUMPRODUCT(LEN(F51)-LEN(SUBSTITUTE(F51,{".",",","!","?",":",";","—","–","«","»","""","'","(",")"},"")))</f>
        <v/>
      </c>
      <c r="O51" s="18">
        <f>IF(AND(I51&lt;=35,J51&lt;=15,K51&lt;=30,L51&lt;=15,M51&lt;=81,N51&lt;=15,LEN(G51)&lt;=20),"OK","проверить")</f>
        <v/>
      </c>
    </row>
    <row r="52">
      <c r="A52" s="18" t="inlineStr">
        <is>
          <t>K7</t>
        </is>
      </c>
      <c r="B52" s="4" t="inlineStr">
        <is>
          <t>Зарегистрировался, не оплатил</t>
        </is>
      </c>
      <c r="C52" s="18" t="inlineStr">
        <is>
          <t>A</t>
        </is>
      </c>
      <c r="D52" s="4" t="inlineStr">
        <is>
          <t>Безлимитный ИИ-репетитор</t>
        </is>
      </c>
      <c r="E52" s="4" t="inlineStr">
        <is>
          <t>Тарифы от 1990 ₽/мес</t>
        </is>
      </c>
      <c r="F52" s="4" t="inlineStr">
        <is>
          <t>Без дневного лимита на обращения. Выберите 2, 4 или 5 предметов</t>
        </is>
      </c>
      <c r="G52" s="4" t="inlineStr">
        <is>
          <t>Тарифы</t>
        </is>
      </c>
      <c r="H52" s="10" t="inlineStr">
        <is>
          <t>https://ege-tutor.ru/tariffs?utm_source=yandex&amp;utm_medium=cpc&amp;utm_campaign=k7_signup&amp;utm_content={ad_id}&amp;utm_term={keyword}</t>
        </is>
      </c>
      <c r="I52" s="18">
        <f>LEN(D52)-J52</f>
        <v/>
      </c>
      <c r="J52" s="18">
        <f>SUMPRODUCT(LEN(D52)-LEN(SUBSTITUTE(D52,{".",",","!","?",":",";","—","–","«","»","""","'","(",")"},"")))</f>
        <v/>
      </c>
      <c r="K52" s="18">
        <f>LEN(E52)-L52</f>
        <v/>
      </c>
      <c r="L52" s="18">
        <f>SUMPRODUCT(LEN(E52)-LEN(SUBSTITUTE(E52,{".",",","!","?",":",";","—","–","«","»","""","'","(",")"},"")))</f>
        <v/>
      </c>
      <c r="M52" s="18">
        <f>LEN(F52)-N52</f>
        <v/>
      </c>
      <c r="N52" s="18">
        <f>SUMPRODUCT(LEN(F52)-LEN(SUBSTITUTE(F52,{".",",","!","?",":",";","—","–","«","»","""","'","(",")"},"")))</f>
        <v/>
      </c>
      <c r="O52" s="18">
        <f>IF(AND(I52&lt;=35,J52&lt;=15,K52&lt;=30,L52&lt;=15,M52&lt;=81,N52&lt;=15,LEN(G52)&lt;=20),"OK","проверить")</f>
        <v/>
      </c>
    </row>
    <row r="53">
      <c r="A53" s="18" t="inlineStr">
        <is>
          <t>K7</t>
        </is>
      </c>
      <c r="B53" s="4" t="inlineStr">
        <is>
          <t>Упёрся в дневной лимит</t>
        </is>
      </c>
      <c r="C53" s="18" t="inlineStr">
        <is>
          <t>A</t>
        </is>
      </c>
      <c r="D53" s="4" t="inlineStr">
        <is>
          <t>Лимит на сегодня исчерпан?</t>
        </is>
      </c>
      <c r="E53" s="4" t="inlineStr">
        <is>
          <t>Безлимит от 1990 ₽/мес</t>
        </is>
      </c>
      <c r="F53" s="4" t="inlineStr">
        <is>
          <t>Продолжайте без ограничений: безлимитный ИИ-репетитор на 2, 4 или 5 предметов</t>
        </is>
      </c>
      <c r="G53" s="4" t="inlineStr">
        <is>
          <t>Тарифы</t>
        </is>
      </c>
      <c r="H53" s="10" t="inlineStr">
        <is>
          <t>https://ege-tutor.ru/tariffs?utm_source=yandex&amp;utm_medium=cpc&amp;utm_campaign=k7_limit&amp;utm_content={ad_id}&amp;utm_term={keyword}</t>
        </is>
      </c>
      <c r="I53" s="18">
        <f>LEN(D53)-J53</f>
        <v/>
      </c>
      <c r="J53" s="18">
        <f>SUMPRODUCT(LEN(D53)-LEN(SUBSTITUTE(D53,{".",",","!","?",":",";","—","–","«","»","""","'","(",")"},"")))</f>
        <v/>
      </c>
      <c r="K53" s="18">
        <f>LEN(E53)-L53</f>
        <v/>
      </c>
      <c r="L53" s="18">
        <f>SUMPRODUCT(LEN(E53)-LEN(SUBSTITUTE(E53,{".",",","!","?",":",";","—","–","«","»","""","'","(",")"},"")))</f>
        <v/>
      </c>
      <c r="M53" s="18">
        <f>LEN(F53)-N53</f>
        <v/>
      </c>
      <c r="N53" s="18">
        <f>SUMPRODUCT(LEN(F53)-LEN(SUBSTITUTE(F53,{".",",","!","?",":",";","—","–","«","»","""","'","(",")"},"")))</f>
        <v/>
      </c>
      <c r="O53" s="18">
        <f>IF(AND(I53&lt;=35,J53&lt;=15,K53&lt;=30,L53&lt;=15,M53&lt;=81,N53&lt;=15,LEN(G53)&lt;=20),"OK","проверить")</f>
        <v/>
      </c>
    </row>
    <row r="54">
      <c r="A54" s="18" t="inlineStr">
        <is>
          <t>K7</t>
        </is>
      </c>
      <c r="B54" s="4" t="inlineStr">
        <is>
          <t>Начал оплату, не завершил</t>
        </is>
      </c>
      <c r="C54" s="18" t="inlineStr">
        <is>
          <t>A</t>
        </is>
      </c>
      <c r="D54" s="4" t="inlineStr">
        <is>
          <t>Завершите подключение тарифа</t>
        </is>
      </c>
      <c r="E54" s="4" t="inlineStr">
        <is>
          <t>ИИ-репетитор без лимита</t>
        </is>
      </c>
      <c r="F54" s="4" t="inlineStr">
        <is>
          <t>Оплата занимает пару минут. Тариф включается сразу после подтверждения платежа</t>
        </is>
      </c>
      <c r="G54" s="4" t="inlineStr">
        <is>
          <t>Тарифы</t>
        </is>
      </c>
      <c r="H54" s="10" t="inlineStr">
        <is>
          <t>https://ege-tutor.ru/tariffs?utm_source=yandex&amp;utm_medium=cpc&amp;utm_campaign=k7_checkout&amp;utm_content={ad_id}&amp;utm_term={keyword}</t>
        </is>
      </c>
      <c r="I54" s="18">
        <f>LEN(D54)-J54</f>
        <v/>
      </c>
      <c r="J54" s="18">
        <f>SUMPRODUCT(LEN(D54)-LEN(SUBSTITUTE(D54,{".",",","!","?",":",";","—","–","«","»","""","'","(",")"},"")))</f>
        <v/>
      </c>
      <c r="K54" s="18">
        <f>LEN(E54)-L54</f>
        <v/>
      </c>
      <c r="L54" s="18">
        <f>SUMPRODUCT(LEN(E54)-LEN(SUBSTITUTE(E54,{".",",","!","?",":",";","—","–","«","»","""","'","(",")"},"")))</f>
        <v/>
      </c>
      <c r="M54" s="18">
        <f>LEN(F54)-N54</f>
        <v/>
      </c>
      <c r="N54" s="18">
        <f>SUMPRODUCT(LEN(F54)-LEN(SUBSTITUTE(F54,{".",",","!","?",":",";","—","–","«","»","""","'","(",")"},"")))</f>
        <v/>
      </c>
      <c r="O54" s="18">
        <f>IF(AND(I54&lt;=35,J54&lt;=15,K54&lt;=30,L54&lt;=15,M54&lt;=81,N54&lt;=15,LEN(G54)&lt;=20),"OK","проверить")</f>
        <v/>
      </c>
    </row>
  </sheetData>
  <autoFilter ref="A4:O54"/>
  <conditionalFormatting sqref="O5:O54">
    <cfRule type="expression" priority="1" dxfId="0">
      <formula>AND(O5&lt;&gt;"",O5&lt;&gt;"OK")</formula>
    </cfRule>
    <cfRule type="expression" priority="2" dxfId="1">
      <formula>O5="OK"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0" customWidth="1" min="3" max="3"/>
    <col width="4" customWidth="1" min="4" max="4"/>
    <col width="34" customWidth="1" min="5" max="5"/>
    <col width="14" customWidth="1" min="6" max="6"/>
  </cols>
  <sheetData>
    <row r="1">
      <c r="A1" s="1" t="inlineStr">
        <is>
          <t>Минус-слова</t>
        </is>
      </c>
    </row>
    <row r="2">
      <c r="A2" s="2" t="inlineStr">
        <is>
          <t>«Все кампании» — на уровне кампаний (добавить в каждую). Остальные — только в указанную кампанию.</t>
        </is>
      </c>
    </row>
    <row r="4" ht="32" customHeight="1">
      <c r="A4" s="8" t="inlineStr">
        <is>
          <t>Область</t>
        </is>
      </c>
      <c r="B4" s="8" t="inlineStr">
        <is>
          <t>Минус-слово / фраза</t>
        </is>
      </c>
      <c r="C4" s="8" t="inlineStr">
        <is>
          <t>Зачем</t>
        </is>
      </c>
      <c r="D4" s="8" t="inlineStr"/>
      <c r="E4" s="8" t="inlineStr">
        <is>
          <t>Знаков без пробелов (лимит: кампания 20 000)</t>
        </is>
      </c>
      <c r="F4" s="8" t="inlineStr">
        <is>
          <t>Значение</t>
        </is>
      </c>
    </row>
    <row r="5">
      <c r="A5" s="18" t="inlineStr">
        <is>
          <t>Все кампании</t>
        </is>
      </c>
      <c r="B5" s="4" t="inlineStr">
        <is>
          <t>гдз</t>
        </is>
      </c>
      <c r="C5" s="10" t="inlineStr">
        <is>
          <t>Ищут готовые ответы, а не тренажёр (и противоречит идее «ИИ объясняет, а не решает»).</t>
        </is>
      </c>
      <c r="E5" s="4" t="inlineStr">
        <is>
          <t>Все кампании</t>
        </is>
      </c>
      <c r="F5" s="18">
        <f>SUMPRODUCT((A$5:A$146="Все кампании")*LEN(SUBSTITUTE(B$5:B$146," ","")))</f>
        <v/>
      </c>
    </row>
    <row r="6">
      <c r="A6" s="18" t="inlineStr">
        <is>
          <t>Все кампании</t>
        </is>
      </c>
      <c r="B6" s="4" t="inlineStr">
        <is>
          <t>решебник</t>
        </is>
      </c>
      <c r="C6" s="10" t="inlineStr">
        <is>
          <t>Ищут готовые ответы, а не тренажёр (и противоречит идее «ИИ объясняет, а не решает»).</t>
        </is>
      </c>
      <c r="E6" s="4" t="inlineStr">
        <is>
          <t>K2</t>
        </is>
      </c>
      <c r="F6" s="18">
        <f>SUMPRODUCT((A$5:A$146="K2")*LEN(SUBSTITUTE(B$5:B$146," ","")))</f>
        <v/>
      </c>
    </row>
    <row r="7">
      <c r="A7" s="18" t="inlineStr">
        <is>
          <t>Все кампании</t>
        </is>
      </c>
      <c r="B7" s="4" t="inlineStr">
        <is>
          <t>готовые ответы</t>
        </is>
      </c>
      <c r="C7" s="10" t="inlineStr">
        <is>
          <t>Ищут готовые ответы, а не тренажёр (и противоречит идее «ИИ объясняет, а не решает»).</t>
        </is>
      </c>
      <c r="E7" s="4" t="inlineStr">
        <is>
          <t>K3</t>
        </is>
      </c>
      <c r="F7" s="18">
        <f>SUMPRODUCT((A$5:A$146="K3")*LEN(SUBSTITUTE(B$5:B$146," ","")))</f>
        <v/>
      </c>
    </row>
    <row r="8">
      <c r="A8" s="18" t="inlineStr">
        <is>
          <t>Все кампании</t>
        </is>
      </c>
      <c r="B8" s="4" t="inlineStr">
        <is>
          <t>ответы</t>
        </is>
      </c>
      <c r="C8" s="10" t="inlineStr">
        <is>
          <t>Ищут готовые ответы, а не тренажёр (и противоречит идее «ИИ объясняет, а не решает»).</t>
        </is>
      </c>
      <c r="E8" s="4" t="inlineStr">
        <is>
          <t>K4</t>
        </is>
      </c>
      <c r="F8" s="18">
        <f>SUMPRODUCT((A$5:A$146="K4")*LEN(SUBSTITUTE(B$5:B$146," ","")))</f>
        <v/>
      </c>
    </row>
    <row r="9">
      <c r="A9" s="18" t="inlineStr">
        <is>
          <t>Все кампании</t>
        </is>
      </c>
      <c r="B9" s="4" t="inlineStr">
        <is>
          <t>ответы на егэ</t>
        </is>
      </c>
      <c r="C9" s="10" t="inlineStr">
        <is>
          <t>Ищут готовые ответы, а не тренажёр (и противоречит идее «ИИ объясняет, а не решает»).</t>
        </is>
      </c>
      <c r="E9" s="4" t="inlineStr">
        <is>
          <t>K5</t>
        </is>
      </c>
      <c r="F9" s="18">
        <f>SUMPRODUCT((A$5:A$146="K5")*LEN(SUBSTITUTE(B$5:B$146," ","")))</f>
        <v/>
      </c>
    </row>
    <row r="10">
      <c r="A10" s="18" t="inlineStr">
        <is>
          <t>Все кампании</t>
        </is>
      </c>
      <c r="B10" s="4" t="inlineStr">
        <is>
          <t>списать</t>
        </is>
      </c>
      <c r="C10" s="10" t="inlineStr">
        <is>
          <t>Ищут готовые ответы, а не тренажёр (и противоречит идее «ИИ объясняет, а не решает»).</t>
        </is>
      </c>
      <c r="E10" s="4" t="inlineStr">
        <is>
          <t>K6</t>
        </is>
      </c>
      <c r="F10" s="18">
        <f>SUMPRODUCT((A$5:A$146="K6")*LEN(SUBSTITUTE(B$5:B$146," ","")))</f>
        <v/>
      </c>
    </row>
    <row r="11">
      <c r="A11" s="18" t="inlineStr">
        <is>
          <t>Все кампании</t>
        </is>
      </c>
      <c r="B11" s="4" t="inlineStr">
        <is>
          <t>шпаргалка</t>
        </is>
      </c>
      <c r="C11" s="10" t="inlineStr">
        <is>
          <t>Ищут готовые ответы, а не тренажёр (и противоречит идее «ИИ объясняет, а не решает»).</t>
        </is>
      </c>
    </row>
    <row r="12">
      <c r="A12" s="18" t="inlineStr">
        <is>
          <t>Все кампании</t>
        </is>
      </c>
      <c r="B12" s="4" t="inlineStr">
        <is>
          <t>шпаргалки</t>
        </is>
      </c>
      <c r="C12" s="10" t="inlineStr">
        <is>
          <t>Ищут готовые ответы, а не тренажёр (и противоречит идее «ИИ объясняет, а не решает»).</t>
        </is>
      </c>
      <c r="E12" s="10" t="inlineStr">
        <is>
          <t>Лимит Директа на кампанию (справка)</t>
        </is>
      </c>
      <c r="F12" s="23" t="n">
        <v>20000</v>
      </c>
    </row>
    <row r="13">
      <c r="A13" s="18" t="inlineStr">
        <is>
          <t>Все кампании</t>
        </is>
      </c>
      <c r="B13" s="4" t="inlineStr">
        <is>
          <t>скачать</t>
        </is>
      </c>
      <c r="C13" s="10" t="inlineStr">
        <is>
          <t>Нелегальный контент и утечки материалов экзамена.</t>
        </is>
      </c>
    </row>
    <row r="14">
      <c r="A14" s="18" t="inlineStr">
        <is>
          <t>Все кампании</t>
        </is>
      </c>
      <c r="B14" s="4" t="inlineStr">
        <is>
          <t>торрент</t>
        </is>
      </c>
      <c r="C14" s="10" t="inlineStr">
        <is>
          <t>Нелегальный контент и утечки материалов экзамена.</t>
        </is>
      </c>
    </row>
    <row r="15">
      <c r="A15" s="18" t="inlineStr">
        <is>
          <t>Все кампании</t>
        </is>
      </c>
      <c r="B15" s="4" t="inlineStr">
        <is>
          <t>pdf</t>
        </is>
      </c>
      <c r="C15" s="10" t="inlineStr">
        <is>
          <t>Нелегальный контент и утечки материалов экзамена.</t>
        </is>
      </c>
    </row>
    <row r="16">
      <c r="A16" s="18" t="inlineStr">
        <is>
          <t>Все кампании</t>
        </is>
      </c>
      <c r="B16" s="4" t="inlineStr">
        <is>
          <t>слив</t>
        </is>
      </c>
      <c r="C16" s="10" t="inlineStr">
        <is>
          <t>Нелегальный контент и утечки материалов экзамена.</t>
        </is>
      </c>
    </row>
    <row r="17">
      <c r="A17" s="18" t="inlineStr">
        <is>
          <t>Все кампании</t>
        </is>
      </c>
      <c r="B17" s="4" t="inlineStr">
        <is>
          <t>слитые</t>
        </is>
      </c>
      <c r="C17" s="10" t="inlineStr">
        <is>
          <t>Нелегальный контент и утечки материалов экзамена.</t>
        </is>
      </c>
    </row>
    <row r="18">
      <c r="A18" s="18" t="inlineStr">
        <is>
          <t>Все кампании</t>
        </is>
      </c>
      <c r="B18" s="4" t="inlineStr">
        <is>
          <t>утечка</t>
        </is>
      </c>
      <c r="C18" s="10" t="inlineStr">
        <is>
          <t>Нелегальный контент и утечки материалов экзамена.</t>
        </is>
      </c>
    </row>
    <row r="19">
      <c r="A19" s="18" t="inlineStr">
        <is>
          <t>Все кампании</t>
        </is>
      </c>
      <c r="B19" s="4" t="inlineStr">
        <is>
          <t>утечки</t>
        </is>
      </c>
      <c r="C19" s="10" t="inlineStr">
        <is>
          <t>Нелегальный контент и утечки материалов экзамена.</t>
        </is>
      </c>
    </row>
    <row r="20">
      <c r="A20" s="18" t="inlineStr">
        <is>
          <t>Все кампании</t>
        </is>
      </c>
      <c r="B20" s="4" t="inlineStr">
        <is>
          <t>огэ</t>
        </is>
      </c>
      <c r="C20" s="10" t="inlineStr">
        <is>
          <t>Платформа только для ЕГЭ.</t>
        </is>
      </c>
    </row>
    <row r="21">
      <c r="A21" s="18" t="inlineStr">
        <is>
          <t>Все кампании</t>
        </is>
      </c>
      <c r="B21" s="4" t="inlineStr">
        <is>
          <t>впр</t>
        </is>
      </c>
      <c r="C21" s="10" t="inlineStr">
        <is>
          <t>Платформа только для ЕГЭ.</t>
        </is>
      </c>
    </row>
    <row r="22">
      <c r="A22" s="18" t="inlineStr">
        <is>
          <t>Все кампании</t>
        </is>
      </c>
      <c r="B22" s="4" t="inlineStr">
        <is>
          <t>гвэ</t>
        </is>
      </c>
      <c r="C22" s="10" t="inlineStr">
        <is>
          <t>Платформа только для ЕГЭ.</t>
        </is>
      </c>
    </row>
    <row r="23">
      <c r="A23" s="18" t="inlineStr">
        <is>
          <t>Все кампании</t>
        </is>
      </c>
      <c r="B23" s="4" t="inlineStr">
        <is>
          <t>5 класс</t>
        </is>
      </c>
      <c r="C23" s="10" t="inlineStr">
        <is>
          <t>Не наша аудитория (до 10 класса).</t>
        </is>
      </c>
    </row>
    <row r="24">
      <c r="A24" s="18" t="inlineStr">
        <is>
          <t>Все кампании</t>
        </is>
      </c>
      <c r="B24" s="4" t="inlineStr">
        <is>
          <t>6 класс</t>
        </is>
      </c>
      <c r="C24" s="10" t="inlineStr">
        <is>
          <t>Не наша аудитория (до 10 класса).</t>
        </is>
      </c>
    </row>
    <row r="25">
      <c r="A25" s="18" t="inlineStr">
        <is>
          <t>Все кампании</t>
        </is>
      </c>
      <c r="B25" s="4" t="inlineStr">
        <is>
          <t>7 класс</t>
        </is>
      </c>
      <c r="C25" s="10" t="inlineStr">
        <is>
          <t>Не наша аудитория (до 10 класса).</t>
        </is>
      </c>
    </row>
    <row r="26">
      <c r="A26" s="18" t="inlineStr">
        <is>
          <t>Все кампании</t>
        </is>
      </c>
      <c r="B26" s="4" t="inlineStr">
        <is>
          <t>8 класс</t>
        </is>
      </c>
      <c r="C26" s="10" t="inlineStr">
        <is>
          <t>Не наша аудитория (до 10 класса).</t>
        </is>
      </c>
    </row>
    <row r="27">
      <c r="A27" s="18" t="inlineStr">
        <is>
          <t>Все кампании</t>
        </is>
      </c>
      <c r="B27" s="4" t="inlineStr">
        <is>
          <t>9 класс</t>
        </is>
      </c>
      <c r="C27" s="10" t="inlineStr">
        <is>
          <t>Не наша аудитория (до 10 класса).</t>
        </is>
      </c>
    </row>
    <row r="28">
      <c r="A28" s="18" t="inlineStr">
        <is>
          <t>Все кампании</t>
        </is>
      </c>
      <c r="B28" s="4" t="inlineStr">
        <is>
          <t>начальная школа</t>
        </is>
      </c>
      <c r="C28" s="10" t="inlineStr">
        <is>
          <t>Не наша аудитория (до 10 класса).</t>
        </is>
      </c>
    </row>
    <row r="29">
      <c r="A29" s="18" t="inlineStr">
        <is>
          <t>Все кампании</t>
        </is>
      </c>
      <c r="B29" s="4" t="inlineStr">
        <is>
          <t>дошкольник</t>
        </is>
      </c>
      <c r="C29" s="10" t="inlineStr">
        <is>
          <t>Не наша аудитория (до 10 класса).</t>
        </is>
      </c>
    </row>
    <row r="30">
      <c r="A30" s="18" t="inlineStr">
        <is>
          <t>Все кампании</t>
        </is>
      </c>
      <c r="B30" s="4" t="inlineStr">
        <is>
          <t>детский сад</t>
        </is>
      </c>
      <c r="C30" s="10" t="inlineStr">
        <is>
          <t>Не наша аудитория (до 10 класса).</t>
        </is>
      </c>
    </row>
    <row r="31">
      <c r="A31" s="18" t="inlineStr">
        <is>
          <t>Все кампании</t>
        </is>
      </c>
      <c r="B31" s="4" t="inlineStr">
        <is>
          <t>информатика</t>
        </is>
      </c>
      <c r="C31" s="10" t="inlineStr">
        <is>
          <t>Информатики на платформе нет.</t>
        </is>
      </c>
    </row>
    <row r="32">
      <c r="A32" s="18" t="inlineStr">
        <is>
          <t>Все кампании</t>
        </is>
      </c>
      <c r="B32" s="4" t="inlineStr">
        <is>
          <t>программирование</t>
        </is>
      </c>
      <c r="C32" s="10" t="inlineStr">
        <is>
          <t>Информатики на платформе нет.</t>
        </is>
      </c>
    </row>
    <row r="33">
      <c r="A33" s="18" t="inlineStr">
        <is>
          <t>Все кампании</t>
        </is>
      </c>
      <c r="B33" s="4" t="inlineStr">
        <is>
          <t>python</t>
        </is>
      </c>
      <c r="C33" s="10" t="inlineStr">
        <is>
          <t>Информатики на платформе нет.</t>
        </is>
      </c>
    </row>
    <row r="34">
      <c r="A34" s="18" t="inlineStr">
        <is>
          <t>Все кампании</t>
        </is>
      </c>
      <c r="B34" s="4" t="inlineStr">
        <is>
          <t>питон</t>
        </is>
      </c>
      <c r="C34" s="10" t="inlineStr">
        <is>
          <t>Информатики на платформе нет.</t>
        </is>
      </c>
    </row>
    <row r="35">
      <c r="A35" s="18" t="inlineStr">
        <is>
          <t>Все кампании</t>
        </is>
      </c>
      <c r="B35" s="4" t="inlineStr">
        <is>
          <t>испанский</t>
        </is>
      </c>
      <c r="C35" s="10" t="inlineStr">
        <is>
          <t>Из иностранных языков есть только английский.</t>
        </is>
      </c>
    </row>
    <row r="36">
      <c r="A36" s="18" t="inlineStr">
        <is>
          <t>Все кампании</t>
        </is>
      </c>
      <c r="B36" s="4" t="inlineStr">
        <is>
          <t>немецкий</t>
        </is>
      </c>
      <c r="C36" s="10" t="inlineStr">
        <is>
          <t>Из иностранных языков есть только английский.</t>
        </is>
      </c>
    </row>
    <row r="37">
      <c r="A37" s="18" t="inlineStr">
        <is>
          <t>Все кампании</t>
        </is>
      </c>
      <c r="B37" s="4" t="inlineStr">
        <is>
          <t>французский</t>
        </is>
      </c>
      <c r="C37" s="10" t="inlineStr">
        <is>
          <t>Из иностранных языков есть только английский.</t>
        </is>
      </c>
    </row>
    <row r="38">
      <c r="A38" s="18" t="inlineStr">
        <is>
          <t>Все кампании</t>
        </is>
      </c>
      <c r="B38" s="4" t="inlineStr">
        <is>
          <t>китайский</t>
        </is>
      </c>
      <c r="C38" s="10" t="inlineStr">
        <is>
          <t>Из иностранных языков есть только английский.</t>
        </is>
      </c>
    </row>
    <row r="39">
      <c r="A39" s="18" t="inlineStr">
        <is>
          <t>Все кампании</t>
        </is>
      </c>
      <c r="B39" s="4" t="inlineStr">
        <is>
          <t>2019</t>
        </is>
      </c>
      <c r="C39" s="10" t="inlineStr">
        <is>
          <t>Запросы про прошлые экзамены и их результаты. Актуальный год — 2027.</t>
        </is>
      </c>
    </row>
    <row r="40">
      <c r="A40" s="18" t="inlineStr">
        <is>
          <t>Все кампании</t>
        </is>
      </c>
      <c r="B40" s="4" t="inlineStr">
        <is>
          <t>2020</t>
        </is>
      </c>
      <c r="C40" s="10" t="inlineStr">
        <is>
          <t>Запросы про прошлые экзамены и их результаты. Актуальный год — 2027.</t>
        </is>
      </c>
    </row>
    <row r="41">
      <c r="A41" s="18" t="inlineStr">
        <is>
          <t>Все кампании</t>
        </is>
      </c>
      <c r="B41" s="4" t="inlineStr">
        <is>
          <t>2021</t>
        </is>
      </c>
      <c r="C41" s="10" t="inlineStr">
        <is>
          <t>Запросы про прошлые экзамены и их результаты. Актуальный год — 2027.</t>
        </is>
      </c>
    </row>
    <row r="42">
      <c r="A42" s="18" t="inlineStr">
        <is>
          <t>Все кампании</t>
        </is>
      </c>
      <c r="B42" s="4" t="inlineStr">
        <is>
          <t>2022</t>
        </is>
      </c>
      <c r="C42" s="10" t="inlineStr">
        <is>
          <t>Запросы про прошлые экзамены и их результаты. Актуальный год — 2027.</t>
        </is>
      </c>
    </row>
    <row r="43">
      <c r="A43" s="18" t="inlineStr">
        <is>
          <t>Все кампании</t>
        </is>
      </c>
      <c r="B43" s="4" t="inlineStr">
        <is>
          <t>2023</t>
        </is>
      </c>
      <c r="C43" s="10" t="inlineStr">
        <is>
          <t>Запросы про прошлые экзамены и их результаты. Актуальный год — 2027.</t>
        </is>
      </c>
    </row>
    <row r="44">
      <c r="A44" s="18" t="inlineStr">
        <is>
          <t>Все кампании</t>
        </is>
      </c>
      <c r="B44" s="4" t="inlineStr">
        <is>
          <t>2024</t>
        </is>
      </c>
      <c r="C44" s="10" t="inlineStr">
        <is>
          <t>Запросы про прошлые экзамены и их результаты. Актуальный год — 2027.</t>
        </is>
      </c>
    </row>
    <row r="45">
      <c r="A45" s="18" t="inlineStr">
        <is>
          <t>Все кампании</t>
        </is>
      </c>
      <c r="B45" s="4" t="inlineStr">
        <is>
          <t>2025</t>
        </is>
      </c>
      <c r="C45" s="10" t="inlineStr">
        <is>
          <t>Запросы про прошлые экзамены и их результаты. Актуальный год — 2027.</t>
        </is>
      </c>
    </row>
    <row r="46">
      <c r="A46" s="18" t="inlineStr">
        <is>
          <t>Все кампании</t>
        </is>
      </c>
      <c r="B46" s="4" t="inlineStr">
        <is>
          <t>2026</t>
        </is>
      </c>
      <c r="C46" s="10" t="inlineStr">
        <is>
          <t>Запросы про прошлые экзамены и их результаты. Актуальный год — 2027.</t>
        </is>
      </c>
    </row>
    <row r="47">
      <c r="A47" s="18" t="inlineStr">
        <is>
          <t>Все кампании</t>
        </is>
      </c>
      <c r="B47" s="4" t="inlineStr">
        <is>
          <t>вакансии</t>
        </is>
      </c>
      <c r="C47" s="10" t="inlineStr">
        <is>
          <t>Ищут работу репетитором, а не занятия.</t>
        </is>
      </c>
    </row>
    <row r="48">
      <c r="A48" s="18" t="inlineStr">
        <is>
          <t>Все кампании</t>
        </is>
      </c>
      <c r="B48" s="4" t="inlineStr">
        <is>
          <t>вакансия</t>
        </is>
      </c>
      <c r="C48" s="10" t="inlineStr">
        <is>
          <t>Ищут работу репетитором, а не занятия.</t>
        </is>
      </c>
    </row>
    <row r="49">
      <c r="A49" s="18" t="inlineStr">
        <is>
          <t>Все кампании</t>
        </is>
      </c>
      <c r="B49" s="4" t="inlineStr">
        <is>
          <t>работа</t>
        </is>
      </c>
      <c r="C49" s="10" t="inlineStr">
        <is>
          <t>Ищут работу репетитором, а не занятия.</t>
        </is>
      </c>
    </row>
    <row r="50">
      <c r="A50" s="18" t="inlineStr">
        <is>
          <t>Все кампании</t>
        </is>
      </c>
      <c r="B50" s="4" t="inlineStr">
        <is>
          <t>стать репетитором</t>
        </is>
      </c>
      <c r="C50" s="10" t="inlineStr">
        <is>
          <t>Ищут работу репетитором, а не занятия.</t>
        </is>
      </c>
    </row>
    <row r="51">
      <c r="A51" s="18" t="inlineStr">
        <is>
          <t>Все кампании</t>
        </is>
      </c>
      <c r="B51" s="4" t="inlineStr">
        <is>
          <t>курсы репетиторов</t>
        </is>
      </c>
      <c r="C51" s="10" t="inlineStr">
        <is>
          <t>Ищут работу репетитором, а не занятия.</t>
        </is>
      </c>
    </row>
    <row r="52">
      <c r="A52" s="18" t="inlineStr">
        <is>
          <t>Все кампании</t>
        </is>
      </c>
      <c r="B52" s="4" t="inlineStr">
        <is>
          <t>на дом</t>
        </is>
      </c>
      <c r="C52" s="10" t="inlineStr">
        <is>
          <t>Очные занятия — не наш формат.</t>
        </is>
      </c>
    </row>
    <row r="53">
      <c r="A53" s="18" t="inlineStr">
        <is>
          <t>Все кампании</t>
        </is>
      </c>
      <c r="B53" s="4" t="inlineStr">
        <is>
          <t>очно</t>
        </is>
      </c>
      <c r="C53" s="10" t="inlineStr">
        <is>
          <t>Очные занятия — не наш формат.</t>
        </is>
      </c>
    </row>
    <row r="54">
      <c r="A54" s="18" t="inlineStr">
        <is>
          <t>Все кампании</t>
        </is>
      </c>
      <c r="B54" s="4" t="inlineStr">
        <is>
          <t>выездной</t>
        </is>
      </c>
      <c r="C54" s="10" t="inlineStr">
        <is>
          <t>Очные занятия — не наш формат.</t>
        </is>
      </c>
    </row>
    <row r="55">
      <c r="A55" s="18" t="inlineStr">
        <is>
          <t>Все кампании</t>
        </is>
      </c>
      <c r="B55" s="4" t="inlineStr">
        <is>
          <t>реферат</t>
        </is>
      </c>
      <c r="C55" s="10" t="inlineStr">
        <is>
          <t>Не про подготовку к ЕГЭ.</t>
        </is>
      </c>
    </row>
    <row r="56">
      <c r="A56" s="18" t="inlineStr">
        <is>
          <t>Все кампании</t>
        </is>
      </c>
      <c r="B56" s="4" t="inlineStr">
        <is>
          <t>курсовая</t>
        </is>
      </c>
      <c r="C56" s="10" t="inlineStr">
        <is>
          <t>Не про подготовку к ЕГЭ.</t>
        </is>
      </c>
    </row>
    <row r="57">
      <c r="A57" s="18" t="inlineStr">
        <is>
          <t>Все кампании</t>
        </is>
      </c>
      <c r="B57" s="4" t="inlineStr">
        <is>
          <t>диплом</t>
        </is>
      </c>
      <c r="C57" s="10" t="inlineStr">
        <is>
          <t>Не про подготовку к ЕГЭ.</t>
        </is>
      </c>
    </row>
    <row r="58">
      <c r="A58" s="18" t="inlineStr">
        <is>
          <t>Все кампании</t>
        </is>
      </c>
      <c r="B58" s="4" t="inlineStr">
        <is>
          <t>контрольная</t>
        </is>
      </c>
      <c r="C58" s="10" t="inlineStr">
        <is>
          <t>Не про подготовку к ЕГЭ.</t>
        </is>
      </c>
    </row>
    <row r="59">
      <c r="A59" s="18" t="inlineStr">
        <is>
          <t>Все кампании</t>
        </is>
      </c>
      <c r="B59" s="4" t="inlineStr">
        <is>
          <t>олимпиада</t>
        </is>
      </c>
      <c r="C59" s="10" t="inlineStr">
        <is>
          <t>Не про подготовку к ЕГЭ.</t>
        </is>
      </c>
    </row>
    <row r="60">
      <c r="A60" s="18" t="inlineStr">
        <is>
          <t>Все кампании</t>
        </is>
      </c>
      <c r="B60" s="4" t="inlineStr">
        <is>
          <t>youtube</t>
        </is>
      </c>
      <c r="C60" s="10" t="inlineStr">
        <is>
          <t>Ищут видео, а не тренажёр.</t>
        </is>
      </c>
    </row>
    <row r="61">
      <c r="A61" s="18" t="inlineStr">
        <is>
          <t>Все кампании</t>
        </is>
      </c>
      <c r="B61" s="4" t="inlineStr">
        <is>
          <t>ютуб</t>
        </is>
      </c>
      <c r="C61" s="10" t="inlineStr">
        <is>
          <t>Ищут видео, а не тренажёр.</t>
        </is>
      </c>
    </row>
    <row r="62">
      <c r="A62" s="18" t="inlineStr">
        <is>
          <t>Все кампании</t>
        </is>
      </c>
      <c r="B62" s="4" t="inlineStr">
        <is>
          <t>видеоуроки</t>
        </is>
      </c>
      <c r="C62" s="10" t="inlineStr">
        <is>
          <t>Ищут видео, а не тренажёр.</t>
        </is>
      </c>
    </row>
    <row r="63">
      <c r="A63" s="18" t="inlineStr">
        <is>
          <t>Все кампании</t>
        </is>
      </c>
      <c r="B63" s="4" t="inlineStr">
        <is>
          <t>вебинар</t>
        </is>
      </c>
      <c r="C63" s="10" t="inlineStr">
        <is>
          <t>Ищут видео, а не тренажёр.</t>
        </is>
      </c>
    </row>
    <row r="64">
      <c r="A64" s="18" t="inlineStr">
        <is>
          <t>K2</t>
        </is>
      </c>
      <c r="B64" s="4" t="inlineStr">
        <is>
          <t>математика</t>
        </is>
      </c>
      <c r="C64" s="10" t="inlineStr">
        <is>
          <t>Предметные запросы обслуживает K3 — своим кампаниям не конкурировать друг с другом.</t>
        </is>
      </c>
    </row>
    <row r="65">
      <c r="A65" s="18" t="inlineStr">
        <is>
          <t>K2</t>
        </is>
      </c>
      <c r="B65" s="4" t="inlineStr">
        <is>
          <t>математике</t>
        </is>
      </c>
      <c r="C65" s="10" t="inlineStr">
        <is>
          <t>Предметные запросы обслуживает K3 — своим кампаниям не конкурировать друг с другом.</t>
        </is>
      </c>
    </row>
    <row r="66">
      <c r="A66" s="18" t="inlineStr">
        <is>
          <t>K2</t>
        </is>
      </c>
      <c r="B66" s="4" t="inlineStr">
        <is>
          <t>математику</t>
        </is>
      </c>
      <c r="C66" s="10" t="inlineStr">
        <is>
          <t>Предметные запросы обслуживает K3 — своим кампаниям не конкурировать друг с другом.</t>
        </is>
      </c>
    </row>
    <row r="67">
      <c r="A67" s="18" t="inlineStr">
        <is>
          <t>K2</t>
        </is>
      </c>
      <c r="B67" s="4" t="inlineStr">
        <is>
          <t>русский</t>
        </is>
      </c>
      <c r="C67" s="10" t="inlineStr">
        <is>
          <t>Предметные запросы обслуживает K3 — своим кампаниям не конкурировать друг с другом.</t>
        </is>
      </c>
    </row>
    <row r="68">
      <c r="A68" s="18" t="inlineStr">
        <is>
          <t>K2</t>
        </is>
      </c>
      <c r="B68" s="4" t="inlineStr">
        <is>
          <t>русскому</t>
        </is>
      </c>
      <c r="C68" s="10" t="inlineStr">
        <is>
          <t>Предметные запросы обслуживает K3 — своим кампаниям не конкурировать друг с другом.</t>
        </is>
      </c>
    </row>
    <row r="69">
      <c r="A69" s="18" t="inlineStr">
        <is>
          <t>K2</t>
        </is>
      </c>
      <c r="B69" s="4" t="inlineStr">
        <is>
          <t>обществознание</t>
        </is>
      </c>
      <c r="C69" s="10" t="inlineStr">
        <is>
          <t>Предметные запросы обслуживает K3 — своим кампаниям не конкурировать друг с другом.</t>
        </is>
      </c>
    </row>
    <row r="70">
      <c r="A70" s="18" t="inlineStr">
        <is>
          <t>K2</t>
        </is>
      </c>
      <c r="B70" s="4" t="inlineStr">
        <is>
          <t>обществознанию</t>
        </is>
      </c>
      <c r="C70" s="10" t="inlineStr">
        <is>
          <t>Предметные запросы обслуживает K3 — своим кампаниям не конкурировать друг с другом.</t>
        </is>
      </c>
    </row>
    <row r="71">
      <c r="A71" s="18" t="inlineStr">
        <is>
          <t>K2</t>
        </is>
      </c>
      <c r="B71" s="4" t="inlineStr">
        <is>
          <t>физика</t>
        </is>
      </c>
      <c r="C71" s="10" t="inlineStr">
        <is>
          <t>Предметные запросы обслуживает K3 — своим кампаниям не конкурировать друг с другом.</t>
        </is>
      </c>
    </row>
    <row r="72">
      <c r="A72" s="18" t="inlineStr">
        <is>
          <t>K2</t>
        </is>
      </c>
      <c r="B72" s="4" t="inlineStr">
        <is>
          <t>физике</t>
        </is>
      </c>
      <c r="C72" s="10" t="inlineStr">
        <is>
          <t>Предметные запросы обслуживает K3 — своим кампаниям не конкурировать друг с другом.</t>
        </is>
      </c>
    </row>
    <row r="73">
      <c r="A73" s="18" t="inlineStr">
        <is>
          <t>K2</t>
        </is>
      </c>
      <c r="B73" s="4" t="inlineStr">
        <is>
          <t>биология</t>
        </is>
      </c>
      <c r="C73" s="10" t="inlineStr">
        <is>
          <t>Предметные запросы обслуживает K3 — своим кампаниям не конкурировать друг с другом.</t>
        </is>
      </c>
    </row>
    <row r="74">
      <c r="A74" s="18" t="inlineStr">
        <is>
          <t>K2</t>
        </is>
      </c>
      <c r="B74" s="4" t="inlineStr">
        <is>
          <t>биологии</t>
        </is>
      </c>
      <c r="C74" s="10" t="inlineStr">
        <is>
          <t>Предметные запросы обслуживает K3 — своим кампаниям не конкурировать друг с другом.</t>
        </is>
      </c>
    </row>
    <row r="75">
      <c r="A75" s="18" t="inlineStr">
        <is>
          <t>K2</t>
        </is>
      </c>
      <c r="B75" s="4" t="inlineStr">
        <is>
          <t>химия</t>
        </is>
      </c>
      <c r="C75" s="10" t="inlineStr">
        <is>
          <t>Предметные запросы обслуживает K3 — своим кампаниям не конкурировать друг с другом.</t>
        </is>
      </c>
    </row>
    <row r="76">
      <c r="A76" s="18" t="inlineStr">
        <is>
          <t>K2</t>
        </is>
      </c>
      <c r="B76" s="4" t="inlineStr">
        <is>
          <t>химии</t>
        </is>
      </c>
      <c r="C76" s="10" t="inlineStr">
        <is>
          <t>Предметные запросы обслуживает K3 — своим кампаниям не конкурировать друг с другом.</t>
        </is>
      </c>
    </row>
    <row r="77">
      <c r="A77" s="18" t="inlineStr">
        <is>
          <t>K2</t>
        </is>
      </c>
      <c r="B77" s="4" t="inlineStr">
        <is>
          <t>история</t>
        </is>
      </c>
      <c r="C77" s="10" t="inlineStr">
        <is>
          <t>Предметные запросы обслуживает K3 — своим кампаниям не конкурировать друг с другом.</t>
        </is>
      </c>
    </row>
    <row r="78">
      <c r="A78" s="18" t="inlineStr">
        <is>
          <t>K2</t>
        </is>
      </c>
      <c r="B78" s="4" t="inlineStr">
        <is>
          <t>истории</t>
        </is>
      </c>
      <c r="C78" s="10" t="inlineStr">
        <is>
          <t>Предметные запросы обслуживает K3 — своим кампаниям не конкурировать друг с другом.</t>
        </is>
      </c>
    </row>
    <row r="79">
      <c r="A79" s="18" t="inlineStr">
        <is>
          <t>K2</t>
        </is>
      </c>
      <c r="B79" s="4" t="inlineStr">
        <is>
          <t>английский</t>
        </is>
      </c>
      <c r="C79" s="10" t="inlineStr">
        <is>
          <t>Предметные запросы обслуживает K3 — своим кампаниям не конкурировать друг с другом.</t>
        </is>
      </c>
    </row>
    <row r="80">
      <c r="A80" s="18" t="inlineStr">
        <is>
          <t>K2</t>
        </is>
      </c>
      <c r="B80" s="4" t="inlineStr">
        <is>
          <t>английскому</t>
        </is>
      </c>
      <c r="C80" s="10" t="inlineStr">
        <is>
          <t>Предметные запросы обслуживает K3 — своим кампаниям не конкурировать друг с другом.</t>
        </is>
      </c>
    </row>
    <row r="81">
      <c r="A81" s="18" t="inlineStr">
        <is>
          <t>K2</t>
        </is>
      </c>
      <c r="B81" s="4" t="inlineStr">
        <is>
          <t>литература</t>
        </is>
      </c>
      <c r="C81" s="10" t="inlineStr">
        <is>
          <t>Предметные запросы обслуживает K3 — своим кампаниям не конкурировать друг с другом.</t>
        </is>
      </c>
    </row>
    <row r="82">
      <c r="A82" s="18" t="inlineStr">
        <is>
          <t>K2</t>
        </is>
      </c>
      <c r="B82" s="4" t="inlineStr">
        <is>
          <t>литературе</t>
        </is>
      </c>
      <c r="C82" s="10" t="inlineStr">
        <is>
          <t>Предметные запросы обслуживает K3 — своим кампаниям не конкурировать друг с другом.</t>
        </is>
      </c>
    </row>
    <row r="83">
      <c r="A83" s="18" t="inlineStr">
        <is>
          <t>K2</t>
        </is>
      </c>
      <c r="B83" s="4" t="inlineStr">
        <is>
          <t>география</t>
        </is>
      </c>
      <c r="C83" s="10" t="inlineStr">
        <is>
          <t>Предметные запросы обслуживает K3 — своим кампаниям не конкурировать друг с другом.</t>
        </is>
      </c>
    </row>
    <row r="84">
      <c r="A84" s="18" t="inlineStr">
        <is>
          <t>K2</t>
        </is>
      </c>
      <c r="B84" s="4" t="inlineStr">
        <is>
          <t>географии</t>
        </is>
      </c>
      <c r="C84" s="10" t="inlineStr">
        <is>
          <t>Предметные запросы обслуживает K3 — своим кампаниям не конкурировать друг с другом.</t>
        </is>
      </c>
    </row>
    <row r="85">
      <c r="A85" s="18" t="inlineStr">
        <is>
          <t>K3</t>
        </is>
      </c>
      <c r="B85" s="4" t="inlineStr">
        <is>
          <t>цена</t>
        </is>
      </c>
      <c r="C85" s="10" t="inlineStr">
        <is>
          <t>Ценовые запросы обслуживает K5.</t>
        </is>
      </c>
    </row>
    <row r="86">
      <c r="A86" s="18" t="inlineStr">
        <is>
          <t>K3</t>
        </is>
      </c>
      <c r="B86" s="4" t="inlineStr">
        <is>
          <t>стоимость</t>
        </is>
      </c>
      <c r="C86" s="10" t="inlineStr">
        <is>
          <t>Ценовые запросы обслуживает K5.</t>
        </is>
      </c>
    </row>
    <row r="87">
      <c r="A87" s="18" t="inlineStr">
        <is>
          <t>K3</t>
        </is>
      </c>
      <c r="B87" s="4" t="inlineStr">
        <is>
          <t>сколько стоит</t>
        </is>
      </c>
      <c r="C87" s="10" t="inlineStr">
        <is>
          <t>Ценовые запросы обслуживает K5.</t>
        </is>
      </c>
    </row>
    <row r="88">
      <c r="A88" s="18" t="inlineStr">
        <is>
          <t>K3</t>
        </is>
      </c>
      <c r="B88" s="4" t="inlineStr">
        <is>
          <t>недорого</t>
        </is>
      </c>
      <c r="C88" s="10" t="inlineStr">
        <is>
          <t>Ценовые запросы обслуживает K5.</t>
        </is>
      </c>
    </row>
    <row r="89">
      <c r="A89" s="18" t="inlineStr">
        <is>
          <t>K3</t>
        </is>
      </c>
      <c r="B89" s="4" t="inlineStr">
        <is>
          <t>отзывы</t>
        </is>
      </c>
      <c r="C89" s="10" t="inlineStr">
        <is>
          <t>Ценовые запросы обслуживает K5.</t>
        </is>
      </c>
    </row>
    <row r="90">
      <c r="A90" s="18" t="inlineStr">
        <is>
          <t>K3</t>
        </is>
      </c>
      <c r="B90" s="4" t="inlineStr">
        <is>
          <t>как подготовиться</t>
        </is>
      </c>
      <c r="C90" s="10" t="inlineStr">
        <is>
          <t>Информационные запросы обслуживает K6.</t>
        </is>
      </c>
    </row>
    <row r="91">
      <c r="A91" s="18" t="inlineStr">
        <is>
          <t>K3</t>
        </is>
      </c>
      <c r="B91" s="4" t="inlineStr">
        <is>
          <t>как готовиться</t>
        </is>
      </c>
      <c r="C91" s="10" t="inlineStr">
        <is>
          <t>Информационные запросы обслуживает K6.</t>
        </is>
      </c>
    </row>
    <row r="92">
      <c r="A92" s="18" t="inlineStr">
        <is>
          <t>K3</t>
        </is>
      </c>
      <c r="B92" s="4" t="inlineStr">
        <is>
          <t>план подготовки</t>
        </is>
      </c>
      <c r="C92" s="10" t="inlineStr">
        <is>
          <t>Информационные запросы обслуживает K6.</t>
        </is>
      </c>
    </row>
    <row r="93">
      <c r="A93" s="18" t="inlineStr">
        <is>
          <t>K3</t>
        </is>
      </c>
      <c r="B93" s="4" t="inlineStr">
        <is>
          <t>с чего начать</t>
        </is>
      </c>
      <c r="C93" s="10" t="inlineStr">
        <is>
          <t>Информационные запросы обслуживает K6.</t>
        </is>
      </c>
    </row>
    <row r="94">
      <c r="A94" s="18" t="inlineStr">
        <is>
          <t>K3</t>
        </is>
      </c>
      <c r="B94" s="4" t="inlineStr">
        <is>
          <t>сочинение</t>
        </is>
      </c>
      <c r="C94" s="10" t="inlineStr">
        <is>
          <t>Развёрнутые ответы обслуживает K4.</t>
        </is>
      </c>
    </row>
    <row r="95">
      <c r="A95" s="18" t="inlineStr">
        <is>
          <t>K3</t>
        </is>
      </c>
      <c r="B95" s="4" t="inlineStr">
        <is>
          <t>эссе</t>
        </is>
      </c>
      <c r="C95" s="10" t="inlineStr">
        <is>
          <t>Развёрнутые ответы обслуживает K4.</t>
        </is>
      </c>
    </row>
    <row r="96">
      <c r="A96" s="18" t="inlineStr">
        <is>
          <t>K4</t>
        </is>
      </c>
      <c r="B96" s="4" t="inlineStr">
        <is>
          <t>готовые сочинения</t>
        </is>
      </c>
      <c r="C96" s="10" t="inlineStr">
        <is>
          <t>Ищут готовый текст, а не проверку.</t>
        </is>
      </c>
    </row>
    <row r="97">
      <c r="A97" s="18" t="inlineStr">
        <is>
          <t>K4</t>
        </is>
      </c>
      <c r="B97" s="4" t="inlineStr">
        <is>
          <t>написать сочинение</t>
        </is>
      </c>
      <c r="C97" s="10" t="inlineStr">
        <is>
          <t>Ищут готовый текст, а не проверку.</t>
        </is>
      </c>
    </row>
    <row r="98">
      <c r="A98" s="18" t="inlineStr">
        <is>
          <t>K4</t>
        </is>
      </c>
      <c r="B98" s="4" t="inlineStr">
        <is>
          <t>сочинение на тему</t>
        </is>
      </c>
      <c r="C98" s="10" t="inlineStr">
        <is>
          <t>Ищут готовый текст, а не проверку.</t>
        </is>
      </c>
    </row>
    <row r="99">
      <c r="A99" s="18" t="inlineStr">
        <is>
          <t>K4</t>
        </is>
      </c>
      <c r="B99" s="4" t="inlineStr">
        <is>
          <t>пример сочинения</t>
        </is>
      </c>
      <c r="C99" s="10" t="inlineStr">
        <is>
          <t>Ищут готовый текст, а не проверку.</t>
        </is>
      </c>
    </row>
    <row r="100">
      <c r="A100" s="18" t="inlineStr">
        <is>
          <t>K4</t>
        </is>
      </c>
      <c r="B100" s="4" t="inlineStr">
        <is>
          <t>примеры сочинений</t>
        </is>
      </c>
      <c r="C100" s="10" t="inlineStr">
        <is>
          <t>Ищут готовый текст, а не проверку.</t>
        </is>
      </c>
    </row>
    <row r="101">
      <c r="A101" s="18" t="inlineStr">
        <is>
          <t>K4</t>
        </is>
      </c>
      <c r="B101" s="4" t="inlineStr">
        <is>
          <t>аргументы</t>
        </is>
      </c>
      <c r="C101" s="10" t="inlineStr">
        <is>
          <t>Ищут готовый текст, а не проверку.</t>
        </is>
      </c>
    </row>
    <row r="102">
      <c r="A102" s="18" t="inlineStr">
        <is>
          <t>K4</t>
        </is>
      </c>
      <c r="B102" s="4" t="inlineStr">
        <is>
          <t>русский язык</t>
        </is>
      </c>
      <c r="C102" s="10" t="inlineStr">
        <is>
          <t>Проверку сочинений по русскому платформа пока не закрывает (1 задание с критериями).</t>
        </is>
      </c>
    </row>
    <row r="103">
      <c r="A103" s="18" t="inlineStr">
        <is>
          <t>K4</t>
        </is>
      </c>
      <c r="B103" s="4" t="inlineStr">
        <is>
          <t>русскому</t>
        </is>
      </c>
      <c r="C103" s="10" t="inlineStr">
        <is>
          <t>Проверку сочинений по русскому платформа пока не закрывает (1 задание с критериями).</t>
        </is>
      </c>
    </row>
    <row r="104">
      <c r="A104" s="18" t="inlineStr">
        <is>
          <t>K4</t>
        </is>
      </c>
      <c r="B104" s="4" t="inlineStr">
        <is>
          <t>русский</t>
        </is>
      </c>
      <c r="C104" s="10" t="inlineStr">
        <is>
          <t>Проверку сочинений по русскому платформа пока не закрывает (1 задание с критериями).</t>
        </is>
      </c>
    </row>
    <row r="105">
      <c r="A105" s="18" t="inlineStr">
        <is>
          <t>K5</t>
        </is>
      </c>
      <c r="B105" s="4" t="inlineStr">
        <is>
          <t>математика</t>
        </is>
      </c>
      <c r="C105" s="10" t="inlineStr">
        <is>
          <t>Предметные запросы обслуживает K3.</t>
        </is>
      </c>
    </row>
    <row r="106">
      <c r="A106" s="18" t="inlineStr">
        <is>
          <t>K5</t>
        </is>
      </c>
      <c r="B106" s="4" t="inlineStr">
        <is>
          <t>математике</t>
        </is>
      </c>
      <c r="C106" s="10" t="inlineStr">
        <is>
          <t>Предметные запросы обслуживает K3.</t>
        </is>
      </c>
    </row>
    <row r="107">
      <c r="A107" s="18" t="inlineStr">
        <is>
          <t>K5</t>
        </is>
      </c>
      <c r="B107" s="4" t="inlineStr">
        <is>
          <t>математику</t>
        </is>
      </c>
      <c r="C107" s="10" t="inlineStr">
        <is>
          <t>Предметные запросы обслуживает K3.</t>
        </is>
      </c>
    </row>
    <row r="108">
      <c r="A108" s="18" t="inlineStr">
        <is>
          <t>K5</t>
        </is>
      </c>
      <c r="B108" s="4" t="inlineStr">
        <is>
          <t>русский</t>
        </is>
      </c>
      <c r="C108" s="10" t="inlineStr">
        <is>
          <t>Предметные запросы обслуживает K3.</t>
        </is>
      </c>
    </row>
    <row r="109">
      <c r="A109" s="18" t="inlineStr">
        <is>
          <t>K5</t>
        </is>
      </c>
      <c r="B109" s="4" t="inlineStr">
        <is>
          <t>русскому</t>
        </is>
      </c>
      <c r="C109" s="10" t="inlineStr">
        <is>
          <t>Предметные запросы обслуживает K3.</t>
        </is>
      </c>
    </row>
    <row r="110">
      <c r="A110" s="18" t="inlineStr">
        <is>
          <t>K5</t>
        </is>
      </c>
      <c r="B110" s="4" t="inlineStr">
        <is>
          <t>обществознание</t>
        </is>
      </c>
      <c r="C110" s="10" t="inlineStr">
        <is>
          <t>Предметные запросы обслуживает K3.</t>
        </is>
      </c>
    </row>
    <row r="111">
      <c r="A111" s="18" t="inlineStr">
        <is>
          <t>K5</t>
        </is>
      </c>
      <c r="B111" s="4" t="inlineStr">
        <is>
          <t>обществознанию</t>
        </is>
      </c>
      <c r="C111" s="10" t="inlineStr">
        <is>
          <t>Предметные запросы обслуживает K3.</t>
        </is>
      </c>
    </row>
    <row r="112">
      <c r="A112" s="18" t="inlineStr">
        <is>
          <t>K5</t>
        </is>
      </c>
      <c r="B112" s="4" t="inlineStr">
        <is>
          <t>физика</t>
        </is>
      </c>
      <c r="C112" s="10" t="inlineStr">
        <is>
          <t>Предметные запросы обслуживает K3.</t>
        </is>
      </c>
    </row>
    <row r="113">
      <c r="A113" s="18" t="inlineStr">
        <is>
          <t>K5</t>
        </is>
      </c>
      <c r="B113" s="4" t="inlineStr">
        <is>
          <t>физике</t>
        </is>
      </c>
      <c r="C113" s="10" t="inlineStr">
        <is>
          <t>Предметные запросы обслуживает K3.</t>
        </is>
      </c>
    </row>
    <row r="114">
      <c r="A114" s="18" t="inlineStr">
        <is>
          <t>K5</t>
        </is>
      </c>
      <c r="B114" s="4" t="inlineStr">
        <is>
          <t>биология</t>
        </is>
      </c>
      <c r="C114" s="10" t="inlineStr">
        <is>
          <t>Предметные запросы обслуживает K3.</t>
        </is>
      </c>
    </row>
    <row r="115">
      <c r="A115" s="18" t="inlineStr">
        <is>
          <t>K5</t>
        </is>
      </c>
      <c r="B115" s="4" t="inlineStr">
        <is>
          <t>биологии</t>
        </is>
      </c>
      <c r="C115" s="10" t="inlineStr">
        <is>
          <t>Предметные запросы обслуживает K3.</t>
        </is>
      </c>
    </row>
    <row r="116">
      <c r="A116" s="18" t="inlineStr">
        <is>
          <t>K5</t>
        </is>
      </c>
      <c r="B116" s="4" t="inlineStr">
        <is>
          <t>химия</t>
        </is>
      </c>
      <c r="C116" s="10" t="inlineStr">
        <is>
          <t>Предметные запросы обслуживает K3.</t>
        </is>
      </c>
    </row>
    <row r="117">
      <c r="A117" s="18" t="inlineStr">
        <is>
          <t>K5</t>
        </is>
      </c>
      <c r="B117" s="4" t="inlineStr">
        <is>
          <t>химии</t>
        </is>
      </c>
      <c r="C117" s="10" t="inlineStr">
        <is>
          <t>Предметные запросы обслуживает K3.</t>
        </is>
      </c>
    </row>
    <row r="118">
      <c r="A118" s="18" t="inlineStr">
        <is>
          <t>K5</t>
        </is>
      </c>
      <c r="B118" s="4" t="inlineStr">
        <is>
          <t>история</t>
        </is>
      </c>
      <c r="C118" s="10" t="inlineStr">
        <is>
          <t>Предметные запросы обслуживает K3.</t>
        </is>
      </c>
    </row>
    <row r="119">
      <c r="A119" s="18" t="inlineStr">
        <is>
          <t>K5</t>
        </is>
      </c>
      <c r="B119" s="4" t="inlineStr">
        <is>
          <t>истории</t>
        </is>
      </c>
      <c r="C119" s="10" t="inlineStr">
        <is>
          <t>Предметные запросы обслуживает K3.</t>
        </is>
      </c>
    </row>
    <row r="120">
      <c r="A120" s="18" t="inlineStr">
        <is>
          <t>K5</t>
        </is>
      </c>
      <c r="B120" s="4" t="inlineStr">
        <is>
          <t>английский</t>
        </is>
      </c>
      <c r="C120" s="10" t="inlineStr">
        <is>
          <t>Предметные запросы обслуживает K3.</t>
        </is>
      </c>
    </row>
    <row r="121">
      <c r="A121" s="18" t="inlineStr">
        <is>
          <t>K5</t>
        </is>
      </c>
      <c r="B121" s="4" t="inlineStr">
        <is>
          <t>английскому</t>
        </is>
      </c>
      <c r="C121" s="10" t="inlineStr">
        <is>
          <t>Предметные запросы обслуживает K3.</t>
        </is>
      </c>
    </row>
    <row r="122">
      <c r="A122" s="18" t="inlineStr">
        <is>
          <t>K5</t>
        </is>
      </c>
      <c r="B122" s="4" t="inlineStr">
        <is>
          <t>литература</t>
        </is>
      </c>
      <c r="C122" s="10" t="inlineStr">
        <is>
          <t>Предметные запросы обслуживает K3.</t>
        </is>
      </c>
    </row>
    <row r="123">
      <c r="A123" s="18" t="inlineStr">
        <is>
          <t>K5</t>
        </is>
      </c>
      <c r="B123" s="4" t="inlineStr">
        <is>
          <t>литературе</t>
        </is>
      </c>
      <c r="C123" s="10" t="inlineStr">
        <is>
          <t>Предметные запросы обслуживает K3.</t>
        </is>
      </c>
    </row>
    <row r="124">
      <c r="A124" s="18" t="inlineStr">
        <is>
          <t>K5</t>
        </is>
      </c>
      <c r="B124" s="4" t="inlineStr">
        <is>
          <t>география</t>
        </is>
      </c>
      <c r="C124" s="10" t="inlineStr">
        <is>
          <t>Предметные запросы обслуживает K3.</t>
        </is>
      </c>
    </row>
    <row r="125">
      <c r="A125" s="18" t="inlineStr">
        <is>
          <t>K5</t>
        </is>
      </c>
      <c r="B125" s="4" t="inlineStr">
        <is>
          <t>географии</t>
        </is>
      </c>
      <c r="C125" s="10" t="inlineStr">
        <is>
          <t>Предметные запросы обслуживает K3.</t>
        </is>
      </c>
    </row>
    <row r="126">
      <c r="A126" s="18" t="inlineStr">
        <is>
          <t>K6</t>
        </is>
      </c>
      <c r="B126" s="4" t="inlineStr">
        <is>
          <t>математика</t>
        </is>
      </c>
      <c r="C126" s="10" t="inlineStr">
        <is>
          <t>Предметные запросы обслуживает K3.</t>
        </is>
      </c>
    </row>
    <row r="127">
      <c r="A127" s="18" t="inlineStr">
        <is>
          <t>K6</t>
        </is>
      </c>
      <c r="B127" s="4" t="inlineStr">
        <is>
          <t>математике</t>
        </is>
      </c>
      <c r="C127" s="10" t="inlineStr">
        <is>
          <t>Предметные запросы обслуживает K3.</t>
        </is>
      </c>
    </row>
    <row r="128">
      <c r="A128" s="18" t="inlineStr">
        <is>
          <t>K6</t>
        </is>
      </c>
      <c r="B128" s="4" t="inlineStr">
        <is>
          <t>математику</t>
        </is>
      </c>
      <c r="C128" s="10" t="inlineStr">
        <is>
          <t>Предметные запросы обслуживает K3.</t>
        </is>
      </c>
    </row>
    <row r="129">
      <c r="A129" s="18" t="inlineStr">
        <is>
          <t>K6</t>
        </is>
      </c>
      <c r="B129" s="4" t="inlineStr">
        <is>
          <t>русский</t>
        </is>
      </c>
      <c r="C129" s="10" t="inlineStr">
        <is>
          <t>Предметные запросы обслуживает K3.</t>
        </is>
      </c>
    </row>
    <row r="130">
      <c r="A130" s="18" t="inlineStr">
        <is>
          <t>K6</t>
        </is>
      </c>
      <c r="B130" s="4" t="inlineStr">
        <is>
          <t>русскому</t>
        </is>
      </c>
      <c r="C130" s="10" t="inlineStr">
        <is>
          <t>Предметные запросы обслуживает K3.</t>
        </is>
      </c>
    </row>
    <row r="131">
      <c r="A131" s="18" t="inlineStr">
        <is>
          <t>K6</t>
        </is>
      </c>
      <c r="B131" s="4" t="inlineStr">
        <is>
          <t>обществознание</t>
        </is>
      </c>
      <c r="C131" s="10" t="inlineStr">
        <is>
          <t>Предметные запросы обслуживает K3.</t>
        </is>
      </c>
    </row>
    <row r="132">
      <c r="A132" s="18" t="inlineStr">
        <is>
          <t>K6</t>
        </is>
      </c>
      <c r="B132" s="4" t="inlineStr">
        <is>
          <t>обществознанию</t>
        </is>
      </c>
      <c r="C132" s="10" t="inlineStr">
        <is>
          <t>Предметные запросы обслуживает K3.</t>
        </is>
      </c>
    </row>
    <row r="133">
      <c r="A133" s="18" t="inlineStr">
        <is>
          <t>K6</t>
        </is>
      </c>
      <c r="B133" s="4" t="inlineStr">
        <is>
          <t>физика</t>
        </is>
      </c>
      <c r="C133" s="10" t="inlineStr">
        <is>
          <t>Предметные запросы обслуживает K3.</t>
        </is>
      </c>
    </row>
    <row r="134">
      <c r="A134" s="18" t="inlineStr">
        <is>
          <t>K6</t>
        </is>
      </c>
      <c r="B134" s="4" t="inlineStr">
        <is>
          <t>физике</t>
        </is>
      </c>
      <c r="C134" s="10" t="inlineStr">
        <is>
          <t>Предметные запросы обслуживает K3.</t>
        </is>
      </c>
    </row>
    <row r="135">
      <c r="A135" s="18" t="inlineStr">
        <is>
          <t>K6</t>
        </is>
      </c>
      <c r="B135" s="4" t="inlineStr">
        <is>
          <t>биология</t>
        </is>
      </c>
      <c r="C135" s="10" t="inlineStr">
        <is>
          <t>Предметные запросы обслуживает K3.</t>
        </is>
      </c>
    </row>
    <row r="136">
      <c r="A136" s="18" t="inlineStr">
        <is>
          <t>K6</t>
        </is>
      </c>
      <c r="B136" s="4" t="inlineStr">
        <is>
          <t>биологии</t>
        </is>
      </c>
      <c r="C136" s="10" t="inlineStr">
        <is>
          <t>Предметные запросы обслуживает K3.</t>
        </is>
      </c>
    </row>
    <row r="137">
      <c r="A137" s="18" t="inlineStr">
        <is>
          <t>K6</t>
        </is>
      </c>
      <c r="B137" s="4" t="inlineStr">
        <is>
          <t>химия</t>
        </is>
      </c>
      <c r="C137" s="10" t="inlineStr">
        <is>
          <t>Предметные запросы обслуживает K3.</t>
        </is>
      </c>
    </row>
    <row r="138">
      <c r="A138" s="18" t="inlineStr">
        <is>
          <t>K6</t>
        </is>
      </c>
      <c r="B138" s="4" t="inlineStr">
        <is>
          <t>химии</t>
        </is>
      </c>
      <c r="C138" s="10" t="inlineStr">
        <is>
          <t>Предметные запросы обслуживает K3.</t>
        </is>
      </c>
    </row>
    <row r="139">
      <c r="A139" s="18" t="inlineStr">
        <is>
          <t>K6</t>
        </is>
      </c>
      <c r="B139" s="4" t="inlineStr">
        <is>
          <t>история</t>
        </is>
      </c>
      <c r="C139" s="10" t="inlineStr">
        <is>
          <t>Предметные запросы обслуживает K3.</t>
        </is>
      </c>
    </row>
    <row r="140">
      <c r="A140" s="18" t="inlineStr">
        <is>
          <t>K6</t>
        </is>
      </c>
      <c r="B140" s="4" t="inlineStr">
        <is>
          <t>истории</t>
        </is>
      </c>
      <c r="C140" s="10" t="inlineStr">
        <is>
          <t>Предметные запросы обслуживает K3.</t>
        </is>
      </c>
    </row>
    <row r="141">
      <c r="A141" s="18" t="inlineStr">
        <is>
          <t>K6</t>
        </is>
      </c>
      <c r="B141" s="4" t="inlineStr">
        <is>
          <t>английский</t>
        </is>
      </c>
      <c r="C141" s="10" t="inlineStr">
        <is>
          <t>Предметные запросы обслуживает K3.</t>
        </is>
      </c>
    </row>
    <row r="142">
      <c r="A142" s="18" t="inlineStr">
        <is>
          <t>K6</t>
        </is>
      </c>
      <c r="B142" s="4" t="inlineStr">
        <is>
          <t>английскому</t>
        </is>
      </c>
      <c r="C142" s="10" t="inlineStr">
        <is>
          <t>Предметные запросы обслуживает K3.</t>
        </is>
      </c>
    </row>
    <row r="143">
      <c r="A143" s="18" t="inlineStr">
        <is>
          <t>K6</t>
        </is>
      </c>
      <c r="B143" s="4" t="inlineStr">
        <is>
          <t>литература</t>
        </is>
      </c>
      <c r="C143" s="10" t="inlineStr">
        <is>
          <t>Предметные запросы обслуживает K3.</t>
        </is>
      </c>
    </row>
    <row r="144">
      <c r="A144" s="18" t="inlineStr">
        <is>
          <t>K6</t>
        </is>
      </c>
      <c r="B144" s="4" t="inlineStr">
        <is>
          <t>литературе</t>
        </is>
      </c>
      <c r="C144" s="10" t="inlineStr">
        <is>
          <t>Предметные запросы обслуживает K3.</t>
        </is>
      </c>
    </row>
    <row r="145">
      <c r="A145" s="18" t="inlineStr">
        <is>
          <t>K6</t>
        </is>
      </c>
      <c r="B145" s="4" t="inlineStr">
        <is>
          <t>география</t>
        </is>
      </c>
      <c r="C145" s="10" t="inlineStr">
        <is>
          <t>Предметные запросы обслуживает K3.</t>
        </is>
      </c>
    </row>
    <row r="146">
      <c r="A146" s="18" t="inlineStr">
        <is>
          <t>K6</t>
        </is>
      </c>
      <c r="B146" s="4" t="inlineStr">
        <is>
          <t>географии</t>
        </is>
      </c>
      <c r="C146" s="10" t="inlineStr">
        <is>
          <t>Предметные запросы обслуживает K3.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60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Быстрые ссылки</t>
        </is>
      </c>
    </row>
    <row r="2">
      <c r="A2" s="2" t="inlineStr">
        <is>
          <t>Заголовок — до 30 символов, описание — до 60. Ссылки ведут на «/» и «/tariffs» (других адресов у приложения нет), различаются метками.</t>
        </is>
      </c>
    </row>
    <row r="4" ht="32" customHeight="1">
      <c r="A4" s="8" t="inlineStr">
        <is>
          <t>№</t>
        </is>
      </c>
      <c r="B4" s="8" t="inlineStr">
        <is>
          <t>Заголовок</t>
        </is>
      </c>
      <c r="C4" s="8" t="inlineStr">
        <is>
          <t>Описание</t>
        </is>
      </c>
      <c r="D4" s="8" t="inlineStr">
        <is>
          <t>URL</t>
        </is>
      </c>
      <c r="E4" s="8" t="inlineStr">
        <is>
          <t>Зн. заг.</t>
        </is>
      </c>
      <c r="F4" s="8" t="inlineStr">
        <is>
          <t>Зн. опис.</t>
        </is>
      </c>
      <c r="G4" s="8" t="inlineStr">
        <is>
          <t>Проверка</t>
        </is>
      </c>
    </row>
    <row r="5">
      <c r="A5" s="18" t="n">
        <v>1</v>
      </c>
      <c r="B5" s="4" t="inlineStr">
        <is>
          <t>Тарифы и цены</t>
        </is>
      </c>
      <c r="C5" s="4" t="inlineStr">
        <is>
          <t>От 1990 ₽ в месяц. Есть бесплатный тариф</t>
        </is>
      </c>
      <c r="D5" s="10" t="inlineStr">
        <is>
          <t>https://ege-tutor.ru/tariffs?utm_source=yandex&amp;utm_medium=cpc&amp;utm_campaign=sitelinks&amp;utm_content=sl_tariffs</t>
        </is>
      </c>
      <c r="E5" s="18">
        <f>LEN(B5)</f>
        <v/>
      </c>
      <c r="F5" s="18">
        <f>LEN(C5)</f>
        <v/>
      </c>
      <c r="G5" s="18">
        <f>IF(AND(E5&lt;=30,F5&lt;=60),"OK","проверить")</f>
        <v/>
      </c>
    </row>
    <row r="6">
      <c r="A6" s="18" t="n">
        <v>2</v>
      </c>
      <c r="B6" s="4" t="inlineStr">
        <is>
          <t>Попробовать бесплатно</t>
        </is>
      </c>
      <c r="C6" s="4" t="inlineStr">
        <is>
          <t>3 обращения к ИИ-репетитору в день</t>
        </is>
      </c>
      <c r="D6" s="10" t="inlineStr">
        <is>
          <t>https://ege-tutor.ru/?utm_source=yandex&amp;utm_medium=cpc&amp;utm_campaign=sitelinks&amp;utm_content=sl_free</t>
        </is>
      </c>
      <c r="E6" s="18">
        <f>LEN(B6)</f>
        <v/>
      </c>
      <c r="F6" s="18">
        <f>LEN(C6)</f>
        <v/>
      </c>
      <c r="G6" s="18">
        <f>IF(AND(E6&lt;=30,F6&lt;=60),"OK","проверить")</f>
        <v/>
      </c>
    </row>
    <row r="7">
      <c r="A7" s="18" t="n">
        <v>3</v>
      </c>
      <c r="B7" s="4" t="inlineStr">
        <is>
          <t>Как работает ИИ</t>
        </is>
      </c>
      <c r="C7" s="4" t="inlineStr">
        <is>
          <t>Подсказки трёх уровней и разбор по шагам</t>
        </is>
      </c>
      <c r="D7" s="10" t="inlineStr">
        <is>
          <t>https://ege-tutor.ru/?utm_source=yandex&amp;utm_medium=cpc&amp;utm_campaign=sitelinks&amp;utm_content=sl_ai</t>
        </is>
      </c>
      <c r="E7" s="18">
        <f>LEN(B7)</f>
        <v/>
      </c>
      <c r="F7" s="18">
        <f>LEN(C7)</f>
        <v/>
      </c>
      <c r="G7" s="18">
        <f>IF(AND(E7&lt;=30,F7&lt;=60),"OK","проверить")</f>
        <v/>
      </c>
    </row>
    <row r="8">
      <c r="A8" s="18" t="n">
        <v>4</v>
      </c>
      <c r="B8" s="4" t="inlineStr">
        <is>
          <t>Банк заданий</t>
        </is>
      </c>
      <c r="C8" s="4" t="inlineStr">
        <is>
          <t>Задания формата ФИПИ по 11 предметам</t>
        </is>
      </c>
      <c r="D8" s="10" t="inlineStr">
        <is>
          <t>https://ege-tutor.ru/?utm_source=yandex&amp;utm_medium=cpc&amp;utm_campaign=sitelinks&amp;utm_content=sl_bank</t>
        </is>
      </c>
      <c r="E8" s="18">
        <f>LEN(B8)</f>
        <v/>
      </c>
      <c r="F8" s="18">
        <f>LEN(C8)</f>
        <v/>
      </c>
      <c r="G8" s="18">
        <f>IF(AND(E8&lt;=30,F8&lt;=60),"OK","проверить")</f>
        <v/>
      </c>
    </row>
    <row r="9">
      <c r="A9" s="18" t="n">
        <v>5</v>
      </c>
      <c r="B9" s="4" t="inlineStr">
        <is>
          <t>Экзамен-режим</t>
        </is>
      </c>
      <c r="C9" s="4" t="inlineStr">
        <is>
          <t>Тренировка с таймером и разбором ошибок</t>
        </is>
      </c>
      <c r="D9" s="10" t="inlineStr">
        <is>
          <t>https://ege-tutor.ru/?utm_source=yandex&amp;utm_medium=cpc&amp;utm_campaign=sitelinks&amp;utm_content=sl_exam</t>
        </is>
      </c>
      <c r="E9" s="18">
        <f>LEN(B9)</f>
        <v/>
      </c>
      <c r="F9" s="18">
        <f>LEN(C9)</f>
        <v/>
      </c>
      <c r="G9" s="18">
        <f>IF(AND(E9&lt;=30,F9&lt;=60),"OK","проверить")</f>
        <v/>
      </c>
    </row>
  </sheetData>
  <conditionalFormatting sqref="G5:G9">
    <cfRule type="expression" priority="1" dxfId="0">
      <formula>AND(G5&lt;&gt;"",G5&lt;&gt;"OK")</formula>
    </cfRule>
    <cfRule type="expression" priority="2" dxfId="1">
      <formula>G5="OK"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0" customWidth="1" min="3" max="3"/>
    <col width="11" customWidth="1" min="4" max="4"/>
  </cols>
  <sheetData>
    <row r="1">
      <c r="A1" s="1" t="inlineStr">
        <is>
          <t>Уточнения</t>
        </is>
      </c>
    </row>
    <row r="2">
      <c r="A2" s="2" t="inlineStr">
        <is>
          <t>До 25 символов с пробелами каждое.</t>
        </is>
      </c>
    </row>
    <row r="4" ht="32" customHeight="1">
      <c r="A4" s="8" t="inlineStr">
        <is>
          <t>№</t>
        </is>
      </c>
      <c r="B4" s="8" t="inlineStr">
        <is>
          <t>Текст</t>
        </is>
      </c>
      <c r="C4" s="8" t="inlineStr">
        <is>
          <t>Симв.</t>
        </is>
      </c>
      <c r="D4" s="8" t="inlineStr">
        <is>
          <t>Проверка</t>
        </is>
      </c>
    </row>
    <row r="5">
      <c r="A5" s="18" t="n">
        <v>1</v>
      </c>
      <c r="B5" s="4" t="inlineStr">
        <is>
          <t>Задания формата ФИПИ</t>
        </is>
      </c>
      <c r="C5" s="18">
        <f>LEN(B5)</f>
        <v/>
      </c>
      <c r="D5" s="18">
        <f>IF(C5&lt;=25,"OK","проверить")</f>
        <v/>
      </c>
    </row>
    <row r="6">
      <c r="A6" s="18" t="n">
        <v>2</v>
      </c>
      <c r="B6" s="4" t="inlineStr">
        <is>
          <t>ИИ объясняет, не решает</t>
        </is>
      </c>
      <c r="C6" s="18">
        <f>LEN(B6)</f>
        <v/>
      </c>
      <c r="D6" s="18">
        <f>IF(C6&lt;=25,"OK","проверить")</f>
        <v/>
      </c>
    </row>
    <row r="7">
      <c r="A7" s="18" t="n">
        <v>3</v>
      </c>
      <c r="B7" s="4" t="inlineStr">
        <is>
          <t>3 уровня подсказок</t>
        </is>
      </c>
      <c r="C7" s="18">
        <f>LEN(B7)</f>
        <v/>
      </c>
      <c r="D7" s="18">
        <f>IF(C7&lt;=25,"OK","проверить")</f>
        <v/>
      </c>
    </row>
    <row r="8">
      <c r="A8" s="18" t="n">
        <v>4</v>
      </c>
      <c r="B8" s="4" t="inlineStr">
        <is>
          <t>Экзамен-режим с таймером</t>
        </is>
      </c>
      <c r="C8" s="18">
        <f>LEN(B8)</f>
        <v/>
      </c>
      <c r="D8" s="18">
        <f>IF(C8&lt;=25,"OK","проверить")</f>
        <v/>
      </c>
    </row>
    <row r="9">
      <c r="A9" s="18" t="n">
        <v>5</v>
      </c>
      <c r="B9" s="4" t="inlineStr">
        <is>
          <t>Проверка по критериям</t>
        </is>
      </c>
      <c r="C9" s="18">
        <f>LEN(B9)</f>
        <v/>
      </c>
      <c r="D9" s="18">
        <f>IF(C9&lt;=25,"OK","проверить")</f>
        <v/>
      </c>
    </row>
    <row r="10">
      <c r="A10" s="18" t="n">
        <v>6</v>
      </c>
      <c r="B10" s="4" t="inlineStr">
        <is>
          <t>Бесплатный старт</t>
        </is>
      </c>
      <c r="C10" s="18">
        <f>LEN(B10)</f>
        <v/>
      </c>
      <c r="D10" s="18">
        <f>IF(C10&lt;=25,"OK","проверить")</f>
        <v/>
      </c>
    </row>
    <row r="11">
      <c r="A11" s="18" t="n">
        <v>7</v>
      </c>
      <c r="B11" s="4" t="inlineStr">
        <is>
          <t>Персональный план</t>
        </is>
      </c>
      <c r="C11" s="18">
        <f>LEN(B11)</f>
        <v/>
      </c>
      <c r="D11" s="18">
        <f>IF(C11&lt;=25,"OK","проверить")</f>
        <v/>
      </c>
    </row>
    <row r="12">
      <c r="A12" s="18" t="n">
        <v>8</v>
      </c>
      <c r="B12" s="4" t="inlineStr">
        <is>
          <t>Тарифы от 1990 ₽/мес</t>
        </is>
      </c>
      <c r="C12" s="18">
        <f>LEN(B12)</f>
        <v/>
      </c>
      <c r="D12" s="18">
        <f>IF(C12&lt;=25,"OK","проверить")</f>
        <v/>
      </c>
    </row>
    <row r="13">
      <c r="A13" s="18" t="n">
        <v>9</v>
      </c>
      <c r="B13" s="4" t="inlineStr">
        <is>
          <t>11 предметов ЕГЭ</t>
        </is>
      </c>
      <c r="C13" s="18">
        <f>LEN(B13)</f>
        <v/>
      </c>
      <c r="D13" s="18">
        <f>IF(C13&lt;=25,"OK","проверить")</f>
        <v/>
      </c>
    </row>
  </sheetData>
  <conditionalFormatting sqref="D5:D13">
    <cfRule type="expression" priority="1" dxfId="0">
      <formula>AND(D5&lt;&gt;"",D5&lt;&gt;"OK")</formula>
    </cfRule>
    <cfRule type="expression" priority="2" dxfId="1">
      <formula>D5="OK"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10" customWidth="1" min="3" max="3"/>
    <col width="11" customWidth="1" min="4" max="4"/>
    <col width="60" customWidth="1" min="5" max="5"/>
  </cols>
  <sheetData>
    <row r="1">
      <c r="A1" s="1" t="inlineStr">
        <is>
          <t>Мастер кампаний (K1)</t>
        </is>
      </c>
    </row>
    <row r="2">
      <c r="A2" s="2" t="inlineStr">
        <is>
          <t>Заголовок — до 56 знаков, дополнительный заголовок — до 30, текст — до 81. Яндекс сам комбинирует и подбирает аудиторию.</t>
        </is>
      </c>
    </row>
    <row r="4" ht="32" customHeight="1">
      <c r="A4" s="8" t="inlineStr">
        <is>
          <t>№</t>
        </is>
      </c>
      <c r="B4" s="8" t="inlineStr">
        <is>
          <t>Заголовок</t>
        </is>
      </c>
      <c r="C4" s="8" t="inlineStr">
        <is>
          <t>Симв.</t>
        </is>
      </c>
      <c r="D4" s="8" t="inlineStr">
        <is>
          <t>Проверка</t>
        </is>
      </c>
      <c r="E4" s="8" t="inlineStr"/>
    </row>
    <row r="5">
      <c r="A5" s="18" t="n">
        <v>1</v>
      </c>
      <c r="B5" s="4" t="inlineStr">
        <is>
          <t>ИИ-репетитор для ЕГЭ: объясняет, а не решает</t>
        </is>
      </c>
      <c r="C5" s="18">
        <f>LEN(B5)</f>
        <v/>
      </c>
      <c r="D5" s="18">
        <f>IF(C5&lt;=56,"OK","проверить")</f>
        <v/>
      </c>
    </row>
    <row r="6">
      <c r="A6" s="18" t="n">
        <v>2</v>
      </c>
      <c r="B6" s="4" t="inlineStr">
        <is>
          <t>Подготовка к ЕГЭ онлайн с ИИ-репетитором</t>
        </is>
      </c>
      <c r="C6" s="18">
        <f>LEN(B6)</f>
        <v/>
      </c>
      <c r="D6" s="18">
        <f>IF(C6&lt;=56,"OK","проверить")</f>
        <v/>
      </c>
    </row>
    <row r="7">
      <c r="A7" s="18" t="n">
        <v>3</v>
      </c>
      <c r="B7" s="4" t="inlineStr">
        <is>
          <t>Тренажёр ЕГЭ: задания формата ФИПИ и подсказки</t>
        </is>
      </c>
      <c r="C7" s="18">
        <f>LEN(B7)</f>
        <v/>
      </c>
      <c r="D7" s="18">
        <f>IF(C7&lt;=56,"OK","проверить")</f>
        <v/>
      </c>
    </row>
    <row r="8">
      <c r="A8" s="18" t="n">
        <v>4</v>
      </c>
      <c r="B8" s="4" t="inlineStr">
        <is>
          <t>Готовьтесь к ЕГЭ 2027 с ИИ-репетитором</t>
        </is>
      </c>
      <c r="C8" s="18">
        <f>LEN(B8)</f>
        <v/>
      </c>
      <c r="D8" s="18">
        <f>IF(C8&lt;=56,"OK","проверить")</f>
        <v/>
      </c>
    </row>
    <row r="9">
      <c r="A9" s="18" t="n">
        <v>5</v>
      </c>
      <c r="B9" s="4" t="inlineStr">
        <is>
          <t>11 предметов ЕГЭ: задания и ИИ-репетитор</t>
        </is>
      </c>
      <c r="C9" s="18">
        <f>LEN(B9)</f>
        <v/>
      </c>
      <c r="D9" s="18">
        <f>IF(C9&lt;=56,"OK","проверить")</f>
        <v/>
      </c>
    </row>
    <row r="11" ht="32" customHeight="1">
      <c r="A11" s="8" t="inlineStr">
        <is>
          <t>№</t>
        </is>
      </c>
      <c r="B11" s="8" t="inlineStr">
        <is>
          <t>Дополнительный заголовок</t>
        </is>
      </c>
      <c r="C11" s="8" t="inlineStr">
        <is>
          <t>Без знаков</t>
        </is>
      </c>
      <c r="D11" s="8" t="inlineStr">
        <is>
          <t>Проверка</t>
        </is>
      </c>
      <c r="E11" s="8" t="inlineStr"/>
    </row>
    <row r="12">
      <c r="A12" s="18" t="n">
        <v>1</v>
      </c>
      <c r="B12" s="4" t="inlineStr">
        <is>
          <t>Начните бесплатно</t>
        </is>
      </c>
      <c r="C12" s="18">
        <f>LEN(B12)-SUMPRODUCT(LEN(B12)-LEN(SUBSTITUTE(B12,{".",",","!","?",":",";","—","–","«","»","""","'","(",")"},"")))</f>
        <v/>
      </c>
      <c r="D12" s="18">
        <f>IF(C12&lt;=30,"OK","проверить")</f>
        <v/>
      </c>
    </row>
    <row r="13">
      <c r="A13" s="18" t="n">
        <v>2</v>
      </c>
      <c r="B13" s="4" t="inlineStr">
        <is>
          <t>Безлимит от 1990 ₽/мес</t>
        </is>
      </c>
      <c r="C13" s="18">
        <f>LEN(B13)-SUMPRODUCT(LEN(B13)-LEN(SUBSTITUTE(B13,{".",",","!","?",":",";","—","–","«","»","""","'","(",")"},"")))</f>
        <v/>
      </c>
      <c r="D13" s="18">
        <f>IF(C13&lt;=30,"OK","проверить")</f>
        <v/>
      </c>
    </row>
    <row r="14">
      <c r="A14" s="18" t="n">
        <v>3</v>
      </c>
      <c r="B14" s="4" t="inlineStr">
        <is>
          <t>Подсказки трёх уровней</t>
        </is>
      </c>
      <c r="C14" s="18">
        <f>LEN(B14)-SUMPRODUCT(LEN(B14)-LEN(SUBSTITUTE(B14,{".",",","!","?",":",";","—","–","«","»","""","'","(",")"},"")))</f>
        <v/>
      </c>
      <c r="D14" s="18">
        <f>IF(C14&lt;=30,"OK","проверить")</f>
        <v/>
      </c>
    </row>
    <row r="15">
      <c r="A15" s="18" t="n">
        <v>4</v>
      </c>
      <c r="B15" s="4" t="inlineStr">
        <is>
          <t>Разбор заданий по шагам</t>
        </is>
      </c>
      <c r="C15" s="18">
        <f>LEN(B15)-SUMPRODUCT(LEN(B15)-LEN(SUBSTITUTE(B15,{".",",","!","?",":",";","—","–","«","»","""","'","(",")"},"")))</f>
        <v/>
      </c>
      <c r="D15" s="18">
        <f>IF(C15&lt;=30,"OK","проверить")</f>
        <v/>
      </c>
    </row>
    <row r="16">
      <c r="A16" s="18" t="n">
        <v>5</v>
      </c>
      <c r="B16" s="4" t="inlineStr">
        <is>
          <t>Экзамен-режим с таймером</t>
        </is>
      </c>
      <c r="C16" s="18">
        <f>LEN(B16)-SUMPRODUCT(LEN(B16)-LEN(SUBSTITUTE(B16,{".",",","!","?",":",";","—","–","«","»","""","'","(",")"},"")))</f>
        <v/>
      </c>
      <c r="D16" s="18">
        <f>IF(C16&lt;=30,"OK","проверить")</f>
        <v/>
      </c>
    </row>
    <row r="18" ht="32" customHeight="1">
      <c r="A18" s="8" t="inlineStr">
        <is>
          <t>№</t>
        </is>
      </c>
      <c r="B18" s="8" t="inlineStr">
        <is>
          <t>Текст</t>
        </is>
      </c>
      <c r="C18" s="8" t="inlineStr">
        <is>
          <t>Без знаков</t>
        </is>
      </c>
      <c r="D18" s="8" t="inlineStr">
        <is>
          <t>Проверка</t>
        </is>
      </c>
      <c r="E18" s="8" t="inlineStr"/>
    </row>
    <row r="19">
      <c r="A19" s="18" t="n">
        <v>1</v>
      </c>
      <c r="B19" s="4" t="inlineStr">
        <is>
          <t>Разбор заданий по шагам и подсказки трёх уровней. Начните бесплатно</t>
        </is>
      </c>
      <c r="C19" s="18">
        <f>LEN(B19)-SUMPRODUCT(LEN(B19)-LEN(SUBSTITUTE(B19,{".",",","!","?",":",";","—","–","«","»","""","'","(",")"},"")))</f>
        <v/>
      </c>
      <c r="D19" s="18">
        <f>IF(C19&lt;=81,"OK","проверить")</f>
        <v/>
      </c>
    </row>
    <row r="20">
      <c r="A20" s="18" t="n">
        <v>2</v>
      </c>
      <c r="B20" s="4" t="inlineStr">
        <is>
          <t>Тренируйтесь с таймером, разбирайте ошибки, следите за прогрессом по предметам</t>
        </is>
      </c>
      <c r="C20" s="18">
        <f>LEN(B20)-SUMPRODUCT(LEN(B20)-LEN(SUBSTITUTE(B20,{".",",","!","?",":",";","—","–","«","»","""","'","(",")"},"")))</f>
        <v/>
      </c>
      <c r="D20" s="18">
        <f>IF(C20&lt;=81,"OK","проверить")</f>
        <v/>
      </c>
    </row>
    <row r="21">
      <c r="A21" s="18" t="n">
        <v>3</v>
      </c>
      <c r="B21" s="4" t="inlineStr">
        <is>
          <t>Безлимитный ИИ-репетитор на 2 предмета от 1990 ₽ в месяц. Бесплатный старт есть</t>
        </is>
      </c>
      <c r="C21" s="18">
        <f>LEN(B21)-SUMPRODUCT(LEN(B21)-LEN(SUBSTITUTE(B21,{".",",","!","?",":",";","—","–","«","»","""","'","(",")"},"")))</f>
        <v/>
      </c>
      <c r="D21" s="18">
        <f>IF(C21&lt;=81,"OK","проверить")</f>
        <v/>
      </c>
    </row>
    <row r="22">
      <c r="A22" s="18" t="n">
        <v>4</v>
      </c>
      <c r="B22" s="4" t="inlineStr">
        <is>
          <t>Ребёнок учится сам: ИИ подсказывает и объясняет, но не решает за него</t>
        </is>
      </c>
      <c r="C22" s="18">
        <f>LEN(B22)-SUMPRODUCT(LEN(B22)-LEN(SUBSTITUTE(B22,{".",",","!","?",":",";","—","–","«","»","""","'","(",")"},"")))</f>
        <v/>
      </c>
      <c r="D22" s="18">
        <f>IF(C22&lt;=81,"OK","проверить")</f>
        <v/>
      </c>
    </row>
    <row r="24">
      <c r="B24" s="6" t="inlineStr">
        <is>
          <t>Название компании: ЕГЭ·ПРО. Кнопка: «Попробовать» (если есть такой вариант). Ссылка: https://ege-tutor.ru/ с метками (utm_campaign=k1_master).</t>
        </is>
      </c>
      <c r="C24" s="24" t="n"/>
      <c r="D24" s="24" t="n"/>
      <c r="E24" s="7" t="n"/>
    </row>
    <row r="26" ht="32" customHeight="1">
      <c r="A26" s="8" t="inlineStr">
        <is>
          <t>№</t>
        </is>
      </c>
      <c r="B26" s="8" t="inlineStr">
        <is>
          <t>Изображения, которые нужно подготовить (скриншоты платформы)</t>
        </is>
      </c>
      <c r="C26" s="8" t="inlineStr"/>
      <c r="D26" s="8" t="inlineStr"/>
      <c r="E26" s="8" t="inlineStr">
        <is>
          <t>Формат</t>
        </is>
      </c>
    </row>
    <row r="27">
      <c r="A27" s="18" t="n">
        <v>1</v>
      </c>
      <c r="B27" s="4" t="inlineStr">
        <is>
          <t>Экран задания с подсказкой ИИ-репетитора (боковой чат)</t>
        </is>
      </c>
      <c r="E27" s="10" t="inlineStr">
        <is>
          <t>квадрат 1:1 и горизонтальный 16:9</t>
        </is>
      </c>
    </row>
    <row r="28">
      <c r="A28" s="18" t="n">
        <v>2</v>
      </c>
      <c r="B28" s="4" t="inlineStr">
        <is>
          <t>Разбор решения по шагам с формулами</t>
        </is>
      </c>
      <c r="E28" s="10" t="inlineStr">
        <is>
          <t>квадрат 1:1 и горизонтальный 16:9</t>
        </is>
      </c>
    </row>
    <row r="29">
      <c r="A29" s="18" t="n">
        <v>3</v>
      </c>
      <c r="B29" s="4" t="inlineStr">
        <is>
          <t>Экзамен-режим с таймером</t>
        </is>
      </c>
      <c r="E29" s="10" t="inlineStr">
        <is>
          <t>горизонтальный 16:9</t>
        </is>
      </c>
    </row>
    <row r="30">
      <c r="A30" s="18" t="n">
        <v>4</v>
      </c>
      <c r="B30" s="4" t="inlineStr">
        <is>
          <t>Статистика и персональный план</t>
        </is>
      </c>
      <c r="E30" s="10" t="inlineStr">
        <is>
          <t>квадрат 1:1</t>
        </is>
      </c>
    </row>
    <row r="31">
      <c r="A31" s="18" t="n">
        <v>5</v>
      </c>
      <c r="B31" s="4" t="inlineStr">
        <is>
          <t>Страница тарифов (цены и бесплатный старт)</t>
        </is>
      </c>
      <c r="E31" s="10" t="inlineStr">
        <is>
          <t>горизонтальный 16:9</t>
        </is>
      </c>
    </row>
    <row r="32">
      <c r="B32" s="10" t="inlineStr">
        <is>
          <t>Точные требования к размерам показывает сам Мастер при загрузке — сверю при заполнении. Скриншоты без персональных данных и без реальных имён/почт.</t>
        </is>
      </c>
      <c r="C32" s="24" t="n"/>
      <c r="D32" s="24" t="n"/>
      <c r="E32" s="7" t="n"/>
    </row>
    <row r="34" ht="32" customHeight="1">
      <c r="A34" s="8" t="inlineStr">
        <is>
          <t>№</t>
        </is>
      </c>
      <c r="B34" s="8" t="inlineStr">
        <is>
          <t>Образец ключевых фраз для Мастера (необязательно)</t>
        </is>
      </c>
      <c r="C34" s="8" t="inlineStr"/>
      <c r="D34" s="8" t="inlineStr"/>
      <c r="E34" s="8" t="inlineStr"/>
    </row>
    <row r="35">
      <c r="A35" s="18" t="n">
        <v>1</v>
      </c>
      <c r="B35" s="4" t="inlineStr">
        <is>
          <t>ии репетитор егэ</t>
        </is>
      </c>
    </row>
    <row r="36">
      <c r="A36" s="18" t="n">
        <v>2</v>
      </c>
      <c r="B36" s="4" t="inlineStr">
        <is>
          <t>тренажер егэ онлайн</t>
        </is>
      </c>
    </row>
    <row r="37">
      <c r="A37" s="18" t="n">
        <v>3</v>
      </c>
      <c r="B37" s="4" t="inlineStr">
        <is>
          <t>подготовка к егэ онлайн</t>
        </is>
      </c>
    </row>
    <row r="38">
      <c r="A38" s="18" t="n">
        <v>4</v>
      </c>
      <c r="B38" s="4" t="inlineStr">
        <is>
          <t>нейросеть для подготовки к егэ</t>
        </is>
      </c>
    </row>
    <row r="39">
      <c r="A39" s="18" t="n">
        <v>5</v>
      </c>
      <c r="B39" s="4" t="inlineStr">
        <is>
          <t>платформа для подготовки к егэ</t>
        </is>
      </c>
    </row>
    <row r="40">
      <c r="A40" s="18" t="n">
        <v>6</v>
      </c>
      <c r="B40" s="4" t="inlineStr">
        <is>
          <t>подготовка к егэ 2027</t>
        </is>
      </c>
    </row>
    <row r="41">
      <c r="A41" s="18" t="n">
        <v>7</v>
      </c>
      <c r="B41" s="4" t="inlineStr">
        <is>
          <t>ии репетитор для подготовки к егэ</t>
        </is>
      </c>
    </row>
    <row r="42">
      <c r="A42" s="18" t="n">
        <v>8</v>
      </c>
      <c r="B42" s="4" t="inlineStr">
        <is>
          <t>решать задания егэ онлайн</t>
        </is>
      </c>
    </row>
  </sheetData>
  <mergeCells count="2">
    <mergeCell ref="B24:E24"/>
    <mergeCell ref="B32:E32"/>
  </mergeCells>
  <conditionalFormatting sqref="D5:D9">
    <cfRule type="expression" priority="1" dxfId="0">
      <formula>AND(D5&lt;&gt;"",D5&lt;&gt;"OK")</formula>
    </cfRule>
    <cfRule type="expression" priority="2" dxfId="1">
      <formula>D5="OK"</formula>
    </cfRule>
  </conditionalFormatting>
  <conditionalFormatting sqref="D12:D16">
    <cfRule type="expression" priority="3" dxfId="0">
      <formula>AND(D12&lt;&gt;"",D12&lt;&gt;"OK")</formula>
    </cfRule>
    <cfRule type="expression" priority="4" dxfId="1">
      <formula>D12="OK"</formula>
    </cfRule>
  </conditionalFormatting>
  <conditionalFormatting sqref="D19:D22">
    <cfRule type="expression" priority="5" dxfId="0">
      <formula>AND(D19&lt;&gt;"",D19&lt;&gt;"OK")</formula>
    </cfRule>
    <cfRule type="expression" priority="6" dxfId="1">
      <formula>D19="OK"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6" customWidth="1" min="3" max="3"/>
    <col width="46" customWidth="1" min="4" max="4"/>
    <col width="22" customWidth="1" min="5" max="5"/>
  </cols>
  <sheetData>
    <row r="1">
      <c r="A1" s="1" t="inlineStr">
        <is>
          <t>Ретаргетинг и Look-alike (волна 2)</t>
        </is>
      </c>
    </row>
    <row r="2">
      <c r="A2" s="2" t="inlineStr">
        <is>
          <t>Сегменты создаются в Метрике/Аудиториях. Тексты объявлений — на листе «Объявления» (K7).</t>
        </is>
      </c>
    </row>
    <row r="4" ht="32" customHeight="1">
      <c r="A4" s="8" t="inlineStr">
        <is>
          <t>Сегмент</t>
        </is>
      </c>
      <c r="B4" s="8" t="inlineStr">
        <is>
          <t>Условие в Метрике</t>
        </is>
      </c>
      <c r="C4" s="8" t="inlineStr">
        <is>
          <t>Окно</t>
        </is>
      </c>
      <c r="D4" s="8" t="inlineStr">
        <is>
          <t>Что показываем</t>
        </is>
      </c>
      <c r="E4" s="8" t="inlineStr">
        <is>
          <t>Посадочная</t>
        </is>
      </c>
    </row>
    <row r="5" ht="34" customHeight="1">
      <c r="A5" s="4" t="inlineStr">
        <is>
          <t>Был на сайте, не зарегистрировался</t>
        </is>
      </c>
      <c r="B5" s="4" t="inlineStr">
        <is>
          <t>Визит на сайт И НЕ цель signup</t>
        </is>
      </c>
      <c r="C5" s="4" t="inlineStr">
        <is>
          <t>14 дней</t>
        </is>
      </c>
      <c r="D5" s="4" t="inlineStr">
        <is>
          <t>Бесплатный старт + УТП «объясняет, а не решает»</t>
        </is>
      </c>
      <c r="E5" s="4" t="inlineStr">
        <is>
          <t>/</t>
        </is>
      </c>
    </row>
    <row r="6" ht="34" customHeight="1">
      <c r="A6" s="4" t="inlineStr">
        <is>
          <t>Зарегистрировался, не оплатил</t>
        </is>
      </c>
      <c r="B6" s="4" t="inlineStr">
        <is>
          <t>Цель signup И НЕ цель purchase</t>
        </is>
      </c>
      <c r="C6" s="4" t="inlineStr">
        <is>
          <t>14 дней</t>
        </is>
      </c>
      <c r="D6" s="4" t="inlineStr">
        <is>
          <t>Безлимит и тарифы</t>
        </is>
      </c>
      <c r="E6" s="4" t="inlineStr">
        <is>
          <t>/tariffs</t>
        </is>
      </c>
    </row>
    <row r="7" ht="34" customHeight="1">
      <c r="A7" s="4" t="inlineStr">
        <is>
          <t>Упёрся в дневной лимит</t>
        </is>
      </c>
      <c r="B7" s="4" t="inlineStr">
        <is>
          <t>Цель ai_limit_reached И НЕ purchase</t>
        </is>
      </c>
      <c r="C7" s="4" t="inlineStr">
        <is>
          <t>7 дней</t>
        </is>
      </c>
      <c r="D7" s="4" t="inlineStr">
        <is>
          <t>Самый горячий сегмент: безлимит</t>
        </is>
      </c>
      <c r="E7" s="4" t="inlineStr">
        <is>
          <t>/tariffs</t>
        </is>
      </c>
    </row>
    <row r="8" ht="34" customHeight="1">
      <c r="A8" s="4" t="inlineStr">
        <is>
          <t>Начал оплату, не завершил</t>
        </is>
      </c>
      <c r="B8" s="4" t="inlineStr">
        <is>
          <t>Цель checkout_start И НЕ purchase</t>
        </is>
      </c>
      <c r="C8" s="4" t="inlineStr">
        <is>
          <t>7 дней</t>
        </is>
      </c>
      <c r="D8" s="4" t="inlineStr">
        <is>
          <t>Напоминание завершить подключение</t>
        </is>
      </c>
      <c r="E8" s="4" t="inlineStr">
        <is>
          <t>/tariffs</t>
        </is>
      </c>
    </row>
    <row r="9" ht="34" customHeight="1">
      <c r="A9" s="4" t="inlineStr">
        <is>
          <t>Оплатил (ИСКЛЮЧИТЬ из показов)</t>
        </is>
      </c>
      <c r="B9" s="4" t="inlineStr">
        <is>
          <t>Цель purchase</t>
        </is>
      </c>
      <c r="C9" s="4" t="inlineStr">
        <is>
          <t>180 дней</t>
        </is>
      </c>
      <c r="D9" s="4" t="inlineStr">
        <is>
          <t>Не показывать рекламу тарифа</t>
        </is>
      </c>
      <c r="E9" s="4" t="inlineStr">
        <is>
          <t>—</t>
        </is>
      </c>
    </row>
    <row r="10" ht="34" customHeight="1">
      <c r="A10" s="4" t="inlineStr">
        <is>
          <t>Look-alike от оплативших</t>
        </is>
      </c>
      <c r="B10" s="4" t="inlineStr">
        <is>
          <t>Яндекс.Аудитории → «Похожие»: сегмент purchase</t>
        </is>
      </c>
      <c r="C10" s="4" t="inlineStr">
        <is>
          <t>—</t>
        </is>
      </c>
      <c r="D10" s="4" t="inlineStr">
        <is>
          <t>Расширение охвата</t>
        </is>
      </c>
      <c r="E10" s="4" t="inlineStr">
        <is>
          <t>/</t>
        </is>
      </c>
    </row>
    <row r="12">
      <c r="A12" s="10" t="inlineStr">
        <is>
          <t>Look-alike имеет смысл, когда оплативших наберётся 100–200 (по инструкции). До этого сегмент слишком мал.</t>
        </is>
      </c>
      <c r="B12" s="24" t="n"/>
      <c r="C12" s="24" t="n"/>
      <c r="D12" s="24" t="n"/>
      <c r="E12" s="7" t="n"/>
    </row>
  </sheetData>
  <mergeCells count="1">
    <mergeCell ref="A12:E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60" customWidth="1" min="3" max="3"/>
    <col width="50" customWidth="1" min="4" max="4"/>
  </cols>
  <sheetData>
    <row r="1">
      <c r="A1" s="1" t="inlineStr">
        <is>
          <t>Цели Метрики и метки ссылок</t>
        </is>
      </c>
    </row>
    <row r="2">
      <c r="A2" s="2" t="inlineStr">
        <is>
          <t>Счётчик 112809756. Цели создаются в Метрике (Настройка → Цели). Сайт отправляет JS-события сам.</t>
        </is>
      </c>
    </row>
    <row r="4" ht="32" customHeight="1">
      <c r="A4" s="8" t="inlineStr">
        <is>
          <t>Название цели</t>
        </is>
      </c>
      <c r="B4" s="8" t="inlineStr">
        <is>
          <t>Тип</t>
        </is>
      </c>
      <c r="C4" s="8" t="inlineStr">
        <is>
          <t>Условие / идентификатор</t>
        </is>
      </c>
      <c r="D4" s="8" t="inlineStr">
        <is>
          <t>Зачем</t>
        </is>
      </c>
    </row>
    <row r="5">
      <c r="A5" s="4" t="inlineStr">
        <is>
          <t>signup</t>
        </is>
      </c>
      <c r="B5" s="4" t="inlineStr">
        <is>
          <t>JavaScript-событие</t>
        </is>
      </c>
      <c r="C5" s="4" t="inlineStr">
        <is>
          <t>signup</t>
        </is>
      </c>
      <c r="D5" s="4" t="inlineStr">
        <is>
          <t>Регистрация — основная ранняя цель для обучения</t>
        </is>
      </c>
    </row>
    <row r="6">
      <c r="A6" s="4" t="inlineStr">
        <is>
          <t>first_ai_use</t>
        </is>
      </c>
      <c r="B6" s="4" t="inlineStr">
        <is>
          <t>JavaScript-событие</t>
        </is>
      </c>
      <c r="C6" s="4" t="inlineStr">
        <is>
          <t>first_ai_use</t>
        </is>
      </c>
      <c r="D6" s="4" t="inlineStr">
        <is>
          <t>Первое обращение к ИИ (раз на браузер)</t>
        </is>
      </c>
    </row>
    <row r="7">
      <c r="A7" s="4" t="inlineStr">
        <is>
          <t>checkout_start</t>
        </is>
      </c>
      <c r="B7" s="4" t="inlineStr">
        <is>
          <t>JavaScript-событие</t>
        </is>
      </c>
      <c r="C7" s="4" t="inlineStr">
        <is>
          <t>checkout_start</t>
        </is>
      </c>
      <c r="D7" s="4" t="inlineStr">
        <is>
          <t>Нажал «Выбрать» на платном тарифе</t>
        </is>
      </c>
    </row>
    <row r="8">
      <c r="A8" s="4" t="inlineStr">
        <is>
          <t>purchase</t>
        </is>
      </c>
      <c r="B8" s="4" t="inlineStr">
        <is>
          <t>JavaScript-событие</t>
        </is>
      </c>
      <c r="C8" s="4" t="inlineStr">
        <is>
          <t>purchase</t>
        </is>
      </c>
      <c r="D8" s="4" t="inlineStr">
        <is>
          <t>Покупка (с суммой) — главная цель</t>
        </is>
      </c>
    </row>
    <row r="9">
      <c r="A9" s="4" t="inlineStr">
        <is>
          <t>task_opened</t>
        </is>
      </c>
      <c r="B9" s="4" t="inlineStr">
        <is>
          <t>JavaScript-событие</t>
        </is>
      </c>
      <c r="C9" s="4" t="inlineStr">
        <is>
          <t>task_opened</t>
        </is>
      </c>
      <c r="D9" s="4" t="inlineStr">
        <is>
          <t>Открыл задание (раз за сессию)</t>
        </is>
      </c>
    </row>
    <row r="10">
      <c r="A10" s="4" t="inlineStr">
        <is>
          <t>ai_limit_reached</t>
        </is>
      </c>
      <c r="B10" s="4" t="inlineStr">
        <is>
          <t>JavaScript-событие</t>
        </is>
      </c>
      <c r="C10" s="4" t="inlineStr">
        <is>
          <t>ai_limit_reached</t>
        </is>
      </c>
      <c r="D10" s="4" t="inlineStr">
        <is>
          <t>Упёрся в лимит (раз в день)</t>
        </is>
      </c>
    </row>
    <row r="11">
      <c r="A11" s="4" t="inlineStr">
        <is>
          <t>exam_mode_start</t>
        </is>
      </c>
      <c r="B11" s="4" t="inlineStr">
        <is>
          <t>JavaScript-событие</t>
        </is>
      </c>
      <c r="C11" s="4" t="inlineStr">
        <is>
          <t>exam_mode_start</t>
        </is>
      </c>
      <c r="D11" s="4" t="inlineStr">
        <is>
          <t>Запустил экзамен-режим или пробник</t>
        </is>
      </c>
    </row>
    <row r="12">
      <c r="A12" s="4" t="inlineStr">
        <is>
          <t>essay_check_used</t>
        </is>
      </c>
      <c r="B12" s="4" t="inlineStr">
        <is>
          <t>JavaScript-событие</t>
        </is>
      </c>
      <c r="C12" s="4" t="inlineStr">
        <is>
          <t>essay_check_used</t>
        </is>
      </c>
      <c r="D12" s="4" t="inlineStr">
        <is>
          <t>Проверка развёрнутого ответа</t>
        </is>
      </c>
    </row>
    <row r="13">
      <c r="A13" s="4" t="inlineStr">
        <is>
          <t>tariffs_view</t>
        </is>
      </c>
      <c r="B13" s="4" t="inlineStr">
        <is>
          <t>URL содержит</t>
        </is>
      </c>
      <c r="C13" s="4" t="inlineStr">
        <is>
          <t>/tariffs</t>
        </is>
      </c>
      <c r="D13" s="4" t="inlineStr">
        <is>
          <t>Просмотр тарифов (замена checkout_start, пока нет данных)</t>
        </is>
      </c>
    </row>
    <row r="14">
      <c r="A14" s="4" t="inlineStr">
        <is>
          <t>offer_view</t>
        </is>
      </c>
      <c r="B14" s="4" t="inlineStr">
        <is>
          <t>URL содержит</t>
        </is>
      </c>
      <c r="C14" s="4" t="inlineStr">
        <is>
          <t>/oferta</t>
        </is>
      </c>
      <c r="D14" s="4" t="inlineStr">
        <is>
          <t>Читает оферту — сигнал перед оплатой</t>
        </is>
      </c>
    </row>
    <row r="15">
      <c r="A15" s="4" t="inlineStr">
        <is>
          <t>email_verified</t>
        </is>
      </c>
      <c r="B15" s="4" t="inlineStr">
        <is>
          <t>URL содержит</t>
        </is>
      </c>
      <c r="C15" s="4" t="inlineStr">
        <is>
          <t>/verify-email</t>
        </is>
      </c>
      <c r="D15" s="4" t="inlineStr">
        <is>
          <t>Подтверждение почты (только для контроля)</t>
        </is>
      </c>
    </row>
    <row r="16">
      <c r="A16" s="4" t="inlineStr">
        <is>
          <t>payment_return</t>
        </is>
      </c>
      <c r="B16" s="4" t="inlineStr">
        <is>
          <t>URL содержит</t>
        </is>
      </c>
      <c r="C16" s="4" t="inlineStr">
        <is>
          <t>/payment/return</t>
        </is>
      </c>
      <c r="D16" s="4" t="inlineStr">
        <is>
          <t>Возврат из ЮKassa (успех ИЛИ отмена — не покупка)</t>
        </is>
      </c>
    </row>
    <row r="18">
      <c r="A18" s="6" t="inlineStr">
        <is>
          <t>Метки в ссылках</t>
        </is>
      </c>
    </row>
    <row r="19">
      <c r="A19" s="4" t="inlineStr">
        <is>
          <t>Шаблон</t>
        </is>
      </c>
      <c r="B19" s="10" t="inlineStr">
        <is>
          <t>utm_source=yandex&amp;utm_medium=cpc&amp;utm_campaign=&lt;код кампании&gt;&amp;utm_content={ad_id}&amp;utm_term={keyword}</t>
        </is>
      </c>
      <c r="C19" s="24" t="n"/>
      <c r="D19" s="7" t="n"/>
    </row>
    <row r="20">
      <c r="A20" s="4" t="inlineStr">
        <is>
          <t>Примечание</t>
        </is>
      </c>
      <c r="B20" s="10" t="inlineStr">
        <is>
          <t>{ad_id} и {keyword} — макросы Директа. В кабинете также включить автоматическую разметку для Метрики (yclid). Названия макросов сверю с экраном при заполнении.</t>
        </is>
      </c>
      <c r="C20" s="24" t="n"/>
      <c r="D20" s="7" t="n"/>
    </row>
  </sheetData>
  <mergeCells count="2">
    <mergeCell ref="B19:D19"/>
    <mergeCell ref="B20:D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84" customWidth="1" min="3" max="3"/>
    <col width="18" customWidth="1" min="4" max="4"/>
    <col width="34" customWidth="1" min="5" max="5"/>
  </cols>
  <sheetData>
    <row r="1">
      <c r="A1" s="1" t="inlineStr">
        <is>
          <t>Чек-лист запуска</t>
        </is>
      </c>
    </row>
    <row r="2">
      <c r="A2" s="2" t="inlineStr">
        <is>
          <t>Кто: «Вы» — то, что я делать не буду или не могу (вход, деньги, юридические данные, подтверждения). «Я» — заполнение кабинета.</t>
        </is>
      </c>
    </row>
    <row r="4" ht="32" customHeight="1">
      <c r="A4" s="8" t="inlineStr">
        <is>
          <t>№</t>
        </is>
      </c>
      <c r="B4" s="8" t="inlineStr">
        <is>
          <t>Кто</t>
        </is>
      </c>
      <c r="C4" s="8" t="inlineStr">
        <is>
          <t>Что сделать</t>
        </is>
      </c>
      <c r="D4" s="8" t="inlineStr">
        <is>
          <t>Статус</t>
        </is>
      </c>
      <c r="E4" s="8" t="inlineStr">
        <is>
          <t>Примечание</t>
        </is>
      </c>
    </row>
    <row r="5" ht="44" customHeight="1">
      <c r="A5" s="18" t="n">
        <v>1</v>
      </c>
      <c r="B5" s="17" t="inlineStr">
        <is>
          <t>Вы</t>
        </is>
      </c>
      <c r="C5" s="4" t="inlineStr">
        <is>
          <t>Войти в кабинет Директа (адрес с ulogin=ege-pro-ai): логин, пароль, SMS и капчи — только вы. Я работаю в уже открытой вами сессии.</t>
        </is>
      </c>
      <c r="D5" s="25" t="inlineStr">
        <is>
          <t>Не начато</t>
        </is>
      </c>
      <c r="E5" s="10" t="inlineStr"/>
    </row>
    <row r="6" ht="44" customHeight="1">
      <c r="A6" s="18" t="n">
        <v>2</v>
      </c>
      <c r="B6" s="17" t="inlineStr">
        <is>
          <t>Вы</t>
        </is>
      </c>
      <c r="C6" s="4" t="inlineStr">
        <is>
          <t>Принять оферту Директа и указать данные рекламодателя для маркировки рекламы (ИНН и др.).</t>
        </is>
      </c>
      <c r="D6" s="25" t="inlineStr">
        <is>
          <t>Не начато</t>
        </is>
      </c>
      <c r="E6" s="10" t="inlineStr">
        <is>
          <t>Юридические данные вношу только по вашему прямому разрешению на каждый шаг.</t>
        </is>
      </c>
    </row>
    <row r="7" ht="44" customHeight="1">
      <c r="A7" s="18" t="n">
        <v>3</v>
      </c>
      <c r="B7" s="17" t="inlineStr">
        <is>
          <t>Вы</t>
        </is>
      </c>
      <c r="C7" s="4" t="inlineStr">
        <is>
          <t>Проверить актуальную акцию для новых рекламодателей, пополнить баланс (промокод вводится при первом пополнении).</t>
        </is>
      </c>
      <c r="D7" s="25" t="inlineStr">
        <is>
          <t>Не начато</t>
        </is>
      </c>
      <c r="E7" s="10" t="inlineStr">
        <is>
          <t>Пополнение и платежи — только вы.</t>
        </is>
      </c>
    </row>
    <row r="8" ht="44" customHeight="1">
      <c r="A8" s="18" t="n">
        <v>4</v>
      </c>
      <c r="B8" s="17" t="inlineStr">
        <is>
          <t>Вы</t>
        </is>
      </c>
      <c r="C8" s="4" t="inlineStr">
        <is>
          <t>Создать в Метрике цели по листу «Цели и метки» (JS-события и URL-цели) и включить электронную коммерцию (уже включена).</t>
        </is>
      </c>
      <c r="D8" s="25" t="inlineStr">
        <is>
          <t>Не начато</t>
        </is>
      </c>
      <c r="E8" s="10" t="inlineStr"/>
    </row>
    <row r="9" ht="44" customHeight="1">
      <c r="A9" s="18" t="n">
        <v>5</v>
      </c>
      <c r="B9" s="17" t="inlineStr">
        <is>
          <t>Вы</t>
        </is>
      </c>
      <c r="C9" s="4" t="inlineStr">
        <is>
          <t>Проверить «Настройки» и «Кампании» этой книги: бюджеты, регион, доли.</t>
        </is>
      </c>
      <c r="D9" s="25" t="inlineStr">
        <is>
          <t>Не начато</t>
        </is>
      </c>
      <c r="E9" s="10" t="inlineStr">
        <is>
          <t>Без вашего утверждения бюджетов кабинет не заполняю.</t>
        </is>
      </c>
    </row>
    <row r="10" ht="44" customHeight="1">
      <c r="A10" s="18" t="n">
        <v>6</v>
      </c>
      <c r="B10" s="17" t="inlineStr">
        <is>
          <t>Вы</t>
        </is>
      </c>
      <c r="C10" s="4" t="inlineStr">
        <is>
          <t>Прогнать фразы через «Прогноз бюджета» в Директе и убрать нулевые и слишком дорогие.</t>
        </is>
      </c>
      <c r="D10" s="25" t="inlineStr">
        <is>
          <t>Не начато</t>
        </is>
      </c>
      <c r="E10" s="10" t="inlineStr">
        <is>
          <t>Или разрешить мне сделать это в кабинете и показать результат.</t>
        </is>
      </c>
    </row>
    <row r="11" ht="44" customHeight="1">
      <c r="A11" s="18" t="n">
        <v>7</v>
      </c>
      <c r="B11" s="17" t="inlineStr">
        <is>
          <t>Я</t>
        </is>
      </c>
      <c r="C11" s="4" t="inlineStr">
        <is>
          <t>Создать K2 «Поиск | ИИ-репетитор и тренажёр»: группы, фразы, минус-слова, объявления, быстрые ссылки, уточнения.</t>
        </is>
      </c>
      <c r="D11" s="25" t="inlineStr">
        <is>
          <t>Не начато</t>
        </is>
      </c>
      <c r="E11" s="10" t="inlineStr">
        <is>
          <t>До отправки на модерацию.</t>
        </is>
      </c>
    </row>
    <row r="12" ht="44" customHeight="1">
      <c r="A12" s="18" t="n">
        <v>8</v>
      </c>
      <c r="B12" s="17" t="inlineStr">
        <is>
          <t>Я</t>
        </is>
      </c>
      <c r="C12" s="4" t="inlineStr">
        <is>
          <t>Создать K3 «Поиск | Предметы» — группы волны 1 (математика, русский, обществознание, физика).</t>
        </is>
      </c>
      <c r="D12" s="25" t="inlineStr">
        <is>
          <t>Не начато</t>
        </is>
      </c>
      <c r="E12" s="10" t="inlineStr">
        <is>
          <t>До отправки на модерацию.</t>
        </is>
      </c>
    </row>
    <row r="13" ht="44" customHeight="1">
      <c r="A13" s="18" t="n">
        <v>9</v>
      </c>
      <c r="B13" s="17" t="inlineStr">
        <is>
          <t>Я</t>
        </is>
      </c>
      <c r="C13" s="4" t="inlineStr">
        <is>
          <t>Создать K1 «Мастер кампаний»: тексты, изображения (после того как вы их подготовите), счётчик 112809756.</t>
        </is>
      </c>
      <c r="D13" s="25" t="inlineStr">
        <is>
          <t>Не начато</t>
        </is>
      </c>
      <c r="E13" s="10" t="inlineStr"/>
    </row>
    <row r="14" ht="44" customHeight="1">
      <c r="A14" s="18" t="n">
        <v>10</v>
      </c>
      <c r="B14" s="17" t="inlineStr">
        <is>
          <t>Я</t>
        </is>
      </c>
      <c r="C14" s="4" t="inlineStr">
        <is>
          <t>Указать счётчик Метрики и цели в каждой кампании, включить разметку ссылок.</t>
        </is>
      </c>
      <c r="D14" s="25" t="inlineStr">
        <is>
          <t>Не начато</t>
        </is>
      </c>
      <c r="E14" s="10" t="inlineStr"/>
    </row>
    <row r="15" ht="44" customHeight="1">
      <c r="A15" s="18" t="n">
        <v>11</v>
      </c>
      <c r="B15" s="17" t="inlineStr">
        <is>
          <t>Вы</t>
        </is>
      </c>
      <c r="C15" s="4" t="inlineStr">
        <is>
          <t>Проверить кампании вместе со мной и дать прямое «да» на отправку на модерацию / включение показов.</t>
        </is>
      </c>
      <c r="D15" s="25" t="inlineStr">
        <is>
          <t>Не начато</t>
        </is>
      </c>
      <c r="E15" s="10" t="inlineStr">
        <is>
          <t>Это трата денег — без вашего «да» не запускаю.</t>
        </is>
      </c>
    </row>
    <row r="16" ht="44" customHeight="1">
      <c r="A16" s="18" t="n">
        <v>12</v>
      </c>
      <c r="B16" s="17" t="inlineStr">
        <is>
          <t>Я</t>
        </is>
      </c>
      <c r="C16" s="4" t="inlineStr">
        <is>
          <t>Через 1–2 недели: K4, K5, K6 и ретаргетинг K7 (волна 2), группы предметов волны 2 в K3.</t>
        </is>
      </c>
      <c r="D16" s="25" t="inlineStr">
        <is>
          <t>Не начато</t>
        </is>
      </c>
      <c r="E16" s="10" t="inlineStr">
        <is>
          <t>Если данные покажут, что что-то не работает — сначала правим, потом расширяем.</t>
        </is>
      </c>
    </row>
    <row r="17" ht="44" customHeight="1">
      <c r="A17" s="18" t="n">
        <v>13</v>
      </c>
      <c r="B17" s="17" t="inlineStr">
        <is>
          <t>Вы + я</t>
        </is>
      </c>
      <c r="C17" s="4" t="inlineStr">
        <is>
          <t>Раз в неделю: отчёт по площадкам и поисковым фразам, минус-слова, CPA по целям, перераспределение бюджета (раздел 10 инструкции).</t>
        </is>
      </c>
      <c r="D17" s="25" t="inlineStr">
        <is>
          <t>Не начато</t>
        </is>
      </c>
      <c r="E17" s="10" t="inlineStr"/>
    </row>
  </sheetData>
  <dataValidations count="1">
    <dataValidation sqref="D5 D6 D7 D8 D9 D10 D11 D12 D13 D14 D15 D16 D17" showDropDown="0" showInputMessage="0" showErrorMessage="0" allowBlank="1" type="list">
      <formula1>"Не начато,В работе,Готово,Заблокировано"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2026-09-19T15:12:24Z</dcterms:created>
  <dcterms:modified xmlns:dcterms="http://purl.org/dc/terms/" xmlns:xsi="http://www.w3.org/2001/XMLSchema-instance" xsi:type="dcterms:W3CDTF">2026-09-19T15:12:25Z</dcterms:modified>
</cp:coreProperties>
</file>